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Ivonildo\Downloads\"/>
    </mc:Choice>
  </mc:AlternateContent>
  <xr:revisionPtr revIDLastSave="0" documentId="13_ncr:1_{396F37FF-D8FF-4876-BD90-D1EC842FD1D9}" xr6:coauthVersionLast="47" xr6:coauthVersionMax="47" xr10:uidLastSave="{00000000-0000-0000-0000-000000000000}"/>
  <bookViews>
    <workbookView xWindow="-120" yWindow="-120" windowWidth="29040" windowHeight="15720" firstSheet="1" activeTab="2" xr2:uid="{00000000-000D-0000-FFFF-FFFF00000000}"/>
  </bookViews>
  <sheets>
    <sheet name="Base" sheetId="1" r:id="rId1"/>
    <sheet name="Análise do Zero" sheetId="5" r:id="rId2"/>
    <sheet name="Dashboard do Zero" sheetId="6" r:id="rId3"/>
  </sheets>
  <definedNames>
    <definedName name="_xlnm._FilterDatabase" localSheetId="0" hidden="1">Base!$A$1:$K$637</definedName>
    <definedName name="Slicer_Ano">#N/A</definedName>
    <definedName name="Slicer_Categoria">#N/A</definedName>
    <definedName name="Slicer_Mês_extenso">#N/A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5" i="5" l="1"/>
  <c r="J32" i="5"/>
  <c r="J33" i="5"/>
  <c r="J34" i="5"/>
  <c r="J35" i="5"/>
  <c r="J36" i="5"/>
  <c r="J31" i="5"/>
  <c r="I31" i="5"/>
  <c r="I32" i="5"/>
  <c r="I33" i="5"/>
  <c r="I34" i="5"/>
  <c r="I35" i="5"/>
  <c r="I36" i="5"/>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2" i="1"/>
  <c r="B3" i="1"/>
  <c r="C3" i="1"/>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B231" i="1"/>
  <c r="C231" i="1"/>
  <c r="B232" i="1"/>
  <c r="C232" i="1"/>
  <c r="B233" i="1"/>
  <c r="C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B253" i="1"/>
  <c r="C253" i="1"/>
  <c r="B254" i="1"/>
  <c r="C254" i="1"/>
  <c r="B255" i="1"/>
  <c r="C255" i="1"/>
  <c r="B256" i="1"/>
  <c r="C256" i="1"/>
  <c r="B257" i="1"/>
  <c r="C257" i="1"/>
  <c r="B258" i="1"/>
  <c r="C258" i="1"/>
  <c r="B259" i="1"/>
  <c r="C259" i="1"/>
  <c r="B260" i="1"/>
  <c r="C260" i="1"/>
  <c r="B261" i="1"/>
  <c r="C261" i="1"/>
  <c r="B262" i="1"/>
  <c r="C262" i="1"/>
  <c r="B263" i="1"/>
  <c r="C263" i="1"/>
  <c r="B264" i="1"/>
  <c r="C264" i="1"/>
  <c r="B265" i="1"/>
  <c r="C265" i="1"/>
  <c r="B266" i="1"/>
  <c r="C266" i="1"/>
  <c r="B267" i="1"/>
  <c r="C267" i="1"/>
  <c r="B268" i="1"/>
  <c r="C268" i="1"/>
  <c r="B269" i="1"/>
  <c r="C269" i="1"/>
  <c r="B270" i="1"/>
  <c r="C270" i="1"/>
  <c r="B271" i="1"/>
  <c r="C271" i="1"/>
  <c r="B272" i="1"/>
  <c r="C272" i="1"/>
  <c r="B273" i="1"/>
  <c r="C273" i="1"/>
  <c r="B274" i="1"/>
  <c r="C274" i="1"/>
  <c r="B275" i="1"/>
  <c r="C275" i="1"/>
  <c r="B276" i="1"/>
  <c r="C276" i="1"/>
  <c r="B277" i="1"/>
  <c r="C277" i="1"/>
  <c r="B278" i="1"/>
  <c r="C278" i="1"/>
  <c r="B279" i="1"/>
  <c r="C279" i="1"/>
  <c r="B280" i="1"/>
  <c r="C280" i="1"/>
  <c r="B281" i="1"/>
  <c r="C281" i="1"/>
  <c r="B282" i="1"/>
  <c r="C282" i="1"/>
  <c r="B283" i="1"/>
  <c r="C283" i="1"/>
  <c r="B284" i="1"/>
  <c r="C284" i="1"/>
  <c r="B285" i="1"/>
  <c r="C285" i="1"/>
  <c r="B286" i="1"/>
  <c r="C286" i="1"/>
  <c r="B287" i="1"/>
  <c r="C287" i="1"/>
  <c r="B288" i="1"/>
  <c r="C288" i="1"/>
  <c r="B289" i="1"/>
  <c r="C289" i="1"/>
  <c r="B290" i="1"/>
  <c r="C290" i="1"/>
  <c r="B291" i="1"/>
  <c r="C291" i="1"/>
  <c r="B292" i="1"/>
  <c r="C292" i="1"/>
  <c r="B293" i="1"/>
  <c r="C293" i="1"/>
  <c r="B294" i="1"/>
  <c r="C294" i="1"/>
  <c r="B295" i="1"/>
  <c r="C295" i="1"/>
  <c r="B296" i="1"/>
  <c r="C296" i="1"/>
  <c r="B297" i="1"/>
  <c r="C297" i="1"/>
  <c r="B298" i="1"/>
  <c r="C298" i="1"/>
  <c r="B299" i="1"/>
  <c r="C299" i="1"/>
  <c r="B300" i="1"/>
  <c r="C300" i="1"/>
  <c r="B301" i="1"/>
  <c r="C301" i="1"/>
  <c r="B302" i="1"/>
  <c r="C302" i="1"/>
  <c r="B303" i="1"/>
  <c r="C303" i="1"/>
  <c r="B304" i="1"/>
  <c r="C304" i="1"/>
  <c r="B305" i="1"/>
  <c r="C305" i="1"/>
  <c r="B306" i="1"/>
  <c r="C306" i="1"/>
  <c r="B307" i="1"/>
  <c r="C307" i="1"/>
  <c r="B308" i="1"/>
  <c r="C308" i="1"/>
  <c r="B309" i="1"/>
  <c r="C309" i="1"/>
  <c r="B310" i="1"/>
  <c r="C310" i="1"/>
  <c r="B311" i="1"/>
  <c r="C311" i="1"/>
  <c r="B312" i="1"/>
  <c r="C312" i="1"/>
  <c r="B313" i="1"/>
  <c r="C313" i="1"/>
  <c r="B314" i="1"/>
  <c r="C314" i="1"/>
  <c r="B315" i="1"/>
  <c r="C315" i="1"/>
  <c r="B316" i="1"/>
  <c r="C316" i="1"/>
  <c r="B317" i="1"/>
  <c r="C317" i="1"/>
  <c r="B318" i="1"/>
  <c r="C318" i="1"/>
  <c r="B319" i="1"/>
  <c r="C319" i="1"/>
  <c r="B320" i="1"/>
  <c r="C320" i="1"/>
  <c r="B321" i="1"/>
  <c r="C321" i="1"/>
  <c r="B322" i="1"/>
  <c r="C322" i="1"/>
  <c r="B323" i="1"/>
  <c r="C323" i="1"/>
  <c r="B324" i="1"/>
  <c r="C324" i="1"/>
  <c r="B325" i="1"/>
  <c r="C325" i="1"/>
  <c r="B326" i="1"/>
  <c r="C326" i="1"/>
  <c r="B327" i="1"/>
  <c r="C327" i="1"/>
  <c r="B328" i="1"/>
  <c r="C328" i="1"/>
  <c r="B329" i="1"/>
  <c r="C329" i="1"/>
  <c r="B330" i="1"/>
  <c r="C330" i="1"/>
  <c r="B331" i="1"/>
  <c r="C331" i="1"/>
  <c r="B332" i="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3" i="1"/>
  <c r="C413" i="1"/>
  <c r="B414" i="1"/>
  <c r="C414" i="1"/>
  <c r="B415" i="1"/>
  <c r="C415" i="1"/>
  <c r="B416" i="1"/>
  <c r="C416" i="1"/>
  <c r="B417" i="1"/>
  <c r="C417" i="1"/>
  <c r="B418" i="1"/>
  <c r="C418" i="1"/>
  <c r="B419" i="1"/>
  <c r="C419" i="1"/>
  <c r="B420" i="1"/>
  <c r="C420" i="1"/>
  <c r="B421" i="1"/>
  <c r="C421" i="1"/>
  <c r="B422" i="1"/>
  <c r="C422" i="1"/>
  <c r="B423" i="1"/>
  <c r="C423" i="1"/>
  <c r="B424" i="1"/>
  <c r="C424" i="1"/>
  <c r="B425" i="1"/>
  <c r="C425" i="1"/>
  <c r="B426" i="1"/>
  <c r="C426" i="1"/>
  <c r="B427" i="1"/>
  <c r="C427" i="1"/>
  <c r="B428" i="1"/>
  <c r="C428" i="1"/>
  <c r="B429" i="1"/>
  <c r="C429" i="1"/>
  <c r="B430" i="1"/>
  <c r="C430" i="1"/>
  <c r="B431" i="1"/>
  <c r="C431" i="1"/>
  <c r="B432" i="1"/>
  <c r="C432" i="1"/>
  <c r="B433" i="1"/>
  <c r="C433" i="1"/>
  <c r="B434" i="1"/>
  <c r="C434" i="1"/>
  <c r="B435" i="1"/>
  <c r="C435" i="1"/>
  <c r="B436" i="1"/>
  <c r="C436" i="1"/>
  <c r="B437" i="1"/>
  <c r="C437" i="1"/>
  <c r="B438" i="1"/>
  <c r="C438" i="1"/>
  <c r="B439" i="1"/>
  <c r="C439" i="1"/>
  <c r="B440" i="1"/>
  <c r="C440" i="1"/>
  <c r="B441" i="1"/>
  <c r="C441" i="1"/>
  <c r="B442" i="1"/>
  <c r="C442" i="1"/>
  <c r="B443" i="1"/>
  <c r="C443" i="1"/>
  <c r="B444" i="1"/>
  <c r="C444" i="1"/>
  <c r="B445" i="1"/>
  <c r="C445" i="1"/>
  <c r="B446" i="1"/>
  <c r="C446" i="1"/>
  <c r="B447" i="1"/>
  <c r="C447" i="1"/>
  <c r="B448" i="1"/>
  <c r="C448" i="1"/>
  <c r="B449" i="1"/>
  <c r="C449" i="1"/>
  <c r="B450" i="1"/>
  <c r="C450" i="1"/>
  <c r="B451" i="1"/>
  <c r="C451" i="1"/>
  <c r="B452" i="1"/>
  <c r="C452" i="1"/>
  <c r="B453" i="1"/>
  <c r="C453" i="1"/>
  <c r="B454" i="1"/>
  <c r="C454" i="1"/>
  <c r="B455" i="1"/>
  <c r="C455" i="1"/>
  <c r="B456" i="1"/>
  <c r="C456" i="1"/>
  <c r="B457" i="1"/>
  <c r="C457" i="1"/>
  <c r="B458" i="1"/>
  <c r="C458" i="1"/>
  <c r="B459" i="1"/>
  <c r="C459" i="1"/>
  <c r="B460" i="1"/>
  <c r="C460" i="1"/>
  <c r="B461" i="1"/>
  <c r="C461" i="1"/>
  <c r="B462" i="1"/>
  <c r="C462" i="1"/>
  <c r="B463" i="1"/>
  <c r="C463" i="1"/>
  <c r="B464" i="1"/>
  <c r="C464" i="1"/>
  <c r="B465" i="1"/>
  <c r="C465" i="1"/>
  <c r="B466" i="1"/>
  <c r="C466" i="1"/>
  <c r="B467" i="1"/>
  <c r="C467" i="1"/>
  <c r="B468" i="1"/>
  <c r="C468" i="1"/>
  <c r="B469" i="1"/>
  <c r="C469" i="1"/>
  <c r="B470" i="1"/>
  <c r="C470" i="1"/>
  <c r="B471" i="1"/>
  <c r="C471" i="1"/>
  <c r="B472" i="1"/>
  <c r="C472" i="1"/>
  <c r="B473" i="1"/>
  <c r="C473" i="1"/>
  <c r="B474" i="1"/>
  <c r="C474" i="1"/>
  <c r="B475" i="1"/>
  <c r="C475" i="1"/>
  <c r="B476" i="1"/>
  <c r="C476" i="1"/>
  <c r="B477" i="1"/>
  <c r="C477" i="1"/>
  <c r="B478" i="1"/>
  <c r="C478" i="1"/>
  <c r="B479" i="1"/>
  <c r="C479" i="1"/>
  <c r="B480" i="1"/>
  <c r="C480" i="1"/>
  <c r="B481" i="1"/>
  <c r="C481" i="1"/>
  <c r="B482" i="1"/>
  <c r="C482" i="1"/>
  <c r="B483" i="1"/>
  <c r="C483" i="1"/>
  <c r="B484" i="1"/>
  <c r="C484" i="1"/>
  <c r="B485" i="1"/>
  <c r="C485" i="1"/>
  <c r="B486" i="1"/>
  <c r="C486" i="1"/>
  <c r="B487" i="1"/>
  <c r="C487" i="1"/>
  <c r="B488" i="1"/>
  <c r="C488" i="1"/>
  <c r="B489" i="1"/>
  <c r="C489" i="1"/>
  <c r="B490" i="1"/>
  <c r="C490" i="1"/>
  <c r="B491" i="1"/>
  <c r="C491" i="1"/>
  <c r="B492" i="1"/>
  <c r="C492" i="1"/>
  <c r="B493" i="1"/>
  <c r="C493" i="1"/>
  <c r="B494" i="1"/>
  <c r="C494" i="1"/>
  <c r="B495" i="1"/>
  <c r="C495" i="1"/>
  <c r="B496" i="1"/>
  <c r="C496" i="1"/>
  <c r="B497" i="1"/>
  <c r="C497" i="1"/>
  <c r="B498" i="1"/>
  <c r="C498" i="1"/>
  <c r="B499" i="1"/>
  <c r="C499" i="1"/>
  <c r="B500" i="1"/>
  <c r="C500" i="1"/>
  <c r="B501" i="1"/>
  <c r="C501" i="1"/>
  <c r="B502" i="1"/>
  <c r="C502" i="1"/>
  <c r="B503" i="1"/>
  <c r="C503" i="1"/>
  <c r="B504" i="1"/>
  <c r="C504" i="1"/>
  <c r="B505" i="1"/>
  <c r="C505" i="1"/>
  <c r="B506" i="1"/>
  <c r="C506" i="1"/>
  <c r="B507" i="1"/>
  <c r="C507" i="1"/>
  <c r="B508" i="1"/>
  <c r="C508" i="1"/>
  <c r="B509" i="1"/>
  <c r="C509" i="1"/>
  <c r="B510" i="1"/>
  <c r="C510" i="1"/>
  <c r="B511" i="1"/>
  <c r="C511" i="1"/>
  <c r="B512" i="1"/>
  <c r="C512" i="1"/>
  <c r="B513" i="1"/>
  <c r="C513" i="1"/>
  <c r="B514" i="1"/>
  <c r="C514" i="1"/>
  <c r="B515" i="1"/>
  <c r="C515" i="1"/>
  <c r="B516" i="1"/>
  <c r="C516" i="1"/>
  <c r="B517" i="1"/>
  <c r="C517" i="1"/>
  <c r="B518" i="1"/>
  <c r="C518" i="1"/>
  <c r="B519" i="1"/>
  <c r="C519" i="1"/>
  <c r="B520" i="1"/>
  <c r="C520" i="1"/>
  <c r="B521" i="1"/>
  <c r="C521" i="1"/>
  <c r="B522" i="1"/>
  <c r="C522" i="1"/>
  <c r="B523" i="1"/>
  <c r="C523" i="1"/>
  <c r="B524" i="1"/>
  <c r="C524" i="1"/>
  <c r="B525" i="1"/>
  <c r="C525" i="1"/>
  <c r="B526" i="1"/>
  <c r="C526" i="1"/>
  <c r="B527" i="1"/>
  <c r="C527" i="1"/>
  <c r="B528" i="1"/>
  <c r="C528" i="1"/>
  <c r="B529" i="1"/>
  <c r="C529" i="1"/>
  <c r="B530" i="1"/>
  <c r="C530" i="1"/>
  <c r="B531" i="1"/>
  <c r="C531" i="1"/>
  <c r="B532" i="1"/>
  <c r="C532" i="1"/>
  <c r="B533" i="1"/>
  <c r="C533" i="1"/>
  <c r="B534" i="1"/>
  <c r="C534" i="1"/>
  <c r="B535" i="1"/>
  <c r="C535" i="1"/>
  <c r="B536" i="1"/>
  <c r="C536" i="1"/>
  <c r="B537" i="1"/>
  <c r="C537" i="1"/>
  <c r="B538" i="1"/>
  <c r="C538" i="1"/>
  <c r="B539" i="1"/>
  <c r="C539" i="1"/>
  <c r="B540" i="1"/>
  <c r="C540" i="1"/>
  <c r="B541" i="1"/>
  <c r="C541" i="1"/>
  <c r="B542" i="1"/>
  <c r="C542" i="1"/>
  <c r="B543" i="1"/>
  <c r="C543" i="1"/>
  <c r="B544" i="1"/>
  <c r="C544" i="1"/>
  <c r="B545" i="1"/>
  <c r="C545" i="1"/>
  <c r="B546" i="1"/>
  <c r="C546" i="1"/>
  <c r="B547" i="1"/>
  <c r="C547" i="1"/>
  <c r="B548" i="1"/>
  <c r="C548" i="1"/>
  <c r="B549" i="1"/>
  <c r="C549" i="1"/>
  <c r="B550" i="1"/>
  <c r="C550" i="1"/>
  <c r="B551" i="1"/>
  <c r="C551" i="1"/>
  <c r="B552" i="1"/>
  <c r="C552" i="1"/>
  <c r="B553" i="1"/>
  <c r="C553" i="1"/>
  <c r="B554" i="1"/>
  <c r="C554" i="1"/>
  <c r="B555" i="1"/>
  <c r="C555" i="1"/>
  <c r="B556" i="1"/>
  <c r="C556" i="1"/>
  <c r="B557" i="1"/>
  <c r="C557" i="1"/>
  <c r="B558" i="1"/>
  <c r="C558" i="1"/>
  <c r="B559" i="1"/>
  <c r="C559" i="1"/>
  <c r="B560" i="1"/>
  <c r="C560" i="1"/>
  <c r="B561" i="1"/>
  <c r="C561" i="1"/>
  <c r="B562" i="1"/>
  <c r="C562" i="1"/>
  <c r="B563" i="1"/>
  <c r="C563" i="1"/>
  <c r="B564" i="1"/>
  <c r="C564" i="1"/>
  <c r="B565" i="1"/>
  <c r="C565" i="1"/>
  <c r="B566" i="1"/>
  <c r="C566" i="1"/>
  <c r="B567" i="1"/>
  <c r="C567" i="1"/>
  <c r="B568" i="1"/>
  <c r="C568" i="1"/>
  <c r="B569" i="1"/>
  <c r="C569" i="1"/>
  <c r="B570" i="1"/>
  <c r="C570" i="1"/>
  <c r="B571" i="1"/>
  <c r="C571" i="1"/>
  <c r="B572" i="1"/>
  <c r="C572" i="1"/>
  <c r="B573" i="1"/>
  <c r="C573" i="1"/>
  <c r="B574" i="1"/>
  <c r="C574" i="1"/>
  <c r="B575" i="1"/>
  <c r="C575" i="1"/>
  <c r="B576" i="1"/>
  <c r="C576" i="1"/>
  <c r="B577" i="1"/>
  <c r="C577" i="1"/>
  <c r="B578" i="1"/>
  <c r="C578" i="1"/>
  <c r="B579" i="1"/>
  <c r="C579" i="1"/>
  <c r="B580" i="1"/>
  <c r="C580" i="1"/>
  <c r="B581" i="1"/>
  <c r="C581" i="1"/>
  <c r="B582" i="1"/>
  <c r="C582" i="1"/>
  <c r="B583" i="1"/>
  <c r="C583" i="1"/>
  <c r="B584" i="1"/>
  <c r="C584" i="1"/>
  <c r="B585" i="1"/>
  <c r="C585" i="1"/>
  <c r="B586" i="1"/>
  <c r="C586" i="1"/>
  <c r="B587" i="1"/>
  <c r="C587" i="1"/>
  <c r="B588" i="1"/>
  <c r="C588" i="1"/>
  <c r="B589" i="1"/>
  <c r="C589" i="1"/>
  <c r="B590" i="1"/>
  <c r="C590" i="1"/>
  <c r="B591" i="1"/>
  <c r="C591" i="1"/>
  <c r="B592" i="1"/>
  <c r="C592" i="1"/>
  <c r="B593" i="1"/>
  <c r="C593" i="1"/>
  <c r="B594" i="1"/>
  <c r="C594" i="1"/>
  <c r="B595" i="1"/>
  <c r="C595" i="1"/>
  <c r="B596" i="1"/>
  <c r="C596" i="1"/>
  <c r="B597" i="1"/>
  <c r="C597" i="1"/>
  <c r="B598" i="1"/>
  <c r="C598" i="1"/>
  <c r="B599" i="1"/>
  <c r="C599" i="1"/>
  <c r="B600" i="1"/>
  <c r="C600" i="1"/>
  <c r="B601" i="1"/>
  <c r="C601" i="1"/>
  <c r="B602" i="1"/>
  <c r="C602" i="1"/>
  <c r="B603" i="1"/>
  <c r="C603" i="1"/>
  <c r="B604" i="1"/>
  <c r="C604" i="1"/>
  <c r="B605" i="1"/>
  <c r="C605" i="1"/>
  <c r="B606" i="1"/>
  <c r="C606" i="1"/>
  <c r="B607" i="1"/>
  <c r="C607" i="1"/>
  <c r="B608" i="1"/>
  <c r="C608" i="1"/>
  <c r="B609" i="1"/>
  <c r="C609" i="1"/>
  <c r="B610" i="1"/>
  <c r="C610" i="1"/>
  <c r="B611" i="1"/>
  <c r="C611" i="1"/>
  <c r="B612" i="1"/>
  <c r="C612" i="1"/>
  <c r="B613" i="1"/>
  <c r="C613" i="1"/>
  <c r="B614" i="1"/>
  <c r="C614" i="1"/>
  <c r="B615" i="1"/>
  <c r="C615" i="1"/>
  <c r="B616" i="1"/>
  <c r="C616" i="1"/>
  <c r="B617" i="1"/>
  <c r="C617" i="1"/>
  <c r="B618" i="1"/>
  <c r="C618" i="1"/>
  <c r="B619" i="1"/>
  <c r="C619" i="1"/>
  <c r="B620" i="1"/>
  <c r="C620" i="1"/>
  <c r="B621" i="1"/>
  <c r="C621" i="1"/>
  <c r="B622" i="1"/>
  <c r="C622" i="1"/>
  <c r="B623" i="1"/>
  <c r="C623" i="1"/>
  <c r="B624" i="1"/>
  <c r="C624" i="1"/>
  <c r="B625" i="1"/>
  <c r="C625" i="1"/>
  <c r="B626" i="1"/>
  <c r="C626" i="1"/>
  <c r="B627" i="1"/>
  <c r="C627" i="1"/>
  <c r="B628" i="1"/>
  <c r="C628" i="1"/>
  <c r="B629" i="1"/>
  <c r="C629" i="1"/>
  <c r="B630" i="1"/>
  <c r="C630" i="1"/>
  <c r="B631" i="1"/>
  <c r="C631" i="1"/>
  <c r="B632" i="1"/>
  <c r="C632" i="1"/>
  <c r="B633" i="1"/>
  <c r="C633" i="1"/>
  <c r="B634" i="1"/>
  <c r="C634" i="1"/>
  <c r="B635" i="1"/>
  <c r="C635" i="1"/>
  <c r="B636" i="1"/>
  <c r="C636" i="1"/>
  <c r="B637" i="1"/>
  <c r="C637" i="1"/>
  <c r="C2" i="1"/>
  <c r="B2" i="1"/>
  <c r="K2" i="1"/>
  <c r="K3" i="1" s="1"/>
  <c r="K4" i="1" s="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36" i="5" l="1"/>
  <c r="L36" i="5" s="1"/>
  <c r="M36" i="5" s="1"/>
  <c r="K33" i="5"/>
  <c r="L33" i="5" s="1"/>
  <c r="M33" i="5" s="1"/>
  <c r="K34" i="5"/>
  <c r="L34" i="5" s="1"/>
  <c r="M34" i="5" s="1"/>
  <c r="K32" i="5"/>
  <c r="L32" i="5" s="1"/>
  <c r="M32" i="5" s="1"/>
  <c r="K35" i="5"/>
  <c r="L35" i="5" s="1"/>
  <c r="M35" i="5" s="1"/>
  <c r="J37" i="5"/>
  <c r="I40" i="5" s="1"/>
  <c r="K31" i="5"/>
  <c r="L31" i="5" s="1"/>
  <c r="M31" i="5" s="1"/>
  <c r="I37" i="5"/>
  <c r="I39" i="5" l="1"/>
</calcChain>
</file>

<file path=xl/sharedStrings.xml><?xml version="1.0" encoding="utf-8"?>
<sst xmlns="http://schemas.openxmlformats.org/spreadsheetml/2006/main" count="2676" uniqueCount="570">
  <si>
    <t>Data</t>
  </si>
  <si>
    <t>Tipo</t>
  </si>
  <si>
    <t>Categoria</t>
  </si>
  <si>
    <t>Descrição</t>
  </si>
  <si>
    <t>Valor</t>
  </si>
  <si>
    <t>01/01/2023</t>
  </si>
  <si>
    <t>02/01/2023</t>
  </si>
  <si>
    <t>04/01/2023</t>
  </si>
  <si>
    <t>05/01/2023</t>
  </si>
  <si>
    <t>09/01/2023</t>
  </si>
  <si>
    <t>11/01/2023</t>
  </si>
  <si>
    <t>13/01/2023</t>
  </si>
  <si>
    <t>14/01/2023</t>
  </si>
  <si>
    <t>16/01/2023</t>
  </si>
  <si>
    <t>19/01/2023</t>
  </si>
  <si>
    <t>20/01/2023</t>
  </si>
  <si>
    <t>24/01/2023</t>
  </si>
  <si>
    <t>26/01/2023</t>
  </si>
  <si>
    <t>27/01/2023</t>
  </si>
  <si>
    <t>01/02/2023</t>
  </si>
  <si>
    <t>03/02/2023</t>
  </si>
  <si>
    <t>07/02/2023</t>
  </si>
  <si>
    <t>08/02/2023</t>
  </si>
  <si>
    <t>09/02/2023</t>
  </si>
  <si>
    <t>10/02/2023</t>
  </si>
  <si>
    <t>12/02/2023</t>
  </si>
  <si>
    <t>14/02/2023</t>
  </si>
  <si>
    <t>16/02/2023</t>
  </si>
  <si>
    <t>20/02/2023</t>
  </si>
  <si>
    <t>21/02/2023</t>
  </si>
  <si>
    <t>22/02/2023</t>
  </si>
  <si>
    <t>28/02/2023</t>
  </si>
  <si>
    <t>01/03/2023</t>
  </si>
  <si>
    <t>02/03/2023</t>
  </si>
  <si>
    <t>03/03/2023</t>
  </si>
  <si>
    <t>04/03/2023</t>
  </si>
  <si>
    <t>05/03/2023</t>
  </si>
  <si>
    <t>06/03/2023</t>
  </si>
  <si>
    <t>14/03/2023</t>
  </si>
  <si>
    <t>16/03/2023</t>
  </si>
  <si>
    <t>17/03/2023</t>
  </si>
  <si>
    <t>19/03/2023</t>
  </si>
  <si>
    <t>21/03/2023</t>
  </si>
  <si>
    <t>26/03/2023</t>
  </si>
  <si>
    <t>27/03/2023</t>
  </si>
  <si>
    <t>01/04/2023</t>
  </si>
  <si>
    <t>03/04/2023</t>
  </si>
  <si>
    <t>07/04/2023</t>
  </si>
  <si>
    <t>08/04/2023</t>
  </si>
  <si>
    <t>09/04/2023</t>
  </si>
  <si>
    <t>10/04/2023</t>
  </si>
  <si>
    <t>12/04/2023</t>
  </si>
  <si>
    <t>14/04/2023</t>
  </si>
  <si>
    <t>17/04/2023</t>
  </si>
  <si>
    <t>18/04/2023</t>
  </si>
  <si>
    <t>21/04/2023</t>
  </si>
  <si>
    <t>22/04/2023</t>
  </si>
  <si>
    <t>26/04/2023</t>
  </si>
  <si>
    <t>01/05/2023</t>
  </si>
  <si>
    <t>05/05/2023</t>
  </si>
  <si>
    <t>06/05/2023</t>
  </si>
  <si>
    <t>07/05/2023</t>
  </si>
  <si>
    <t>08/05/2023</t>
  </si>
  <si>
    <t>09/05/2023</t>
  </si>
  <si>
    <t>15/05/2023</t>
  </si>
  <si>
    <t>20/05/2023</t>
  </si>
  <si>
    <t>22/05/2023</t>
  </si>
  <si>
    <t>23/05/2023</t>
  </si>
  <si>
    <t>25/05/2023</t>
  </si>
  <si>
    <t>27/05/2023</t>
  </si>
  <si>
    <t>01/06/2023</t>
  </si>
  <si>
    <t>02/06/2023</t>
  </si>
  <si>
    <t>03/06/2023</t>
  </si>
  <si>
    <t>07/06/2023</t>
  </si>
  <si>
    <t>11/06/2023</t>
  </si>
  <si>
    <t>12/06/2023</t>
  </si>
  <si>
    <t>15/06/2023</t>
  </si>
  <si>
    <t>17/06/2023</t>
  </si>
  <si>
    <t>19/06/2023</t>
  </si>
  <si>
    <t>20/06/2023</t>
  </si>
  <si>
    <t>21/06/2023</t>
  </si>
  <si>
    <t>23/06/2023</t>
  </si>
  <si>
    <t>25/06/2023</t>
  </si>
  <si>
    <t>27/06/2023</t>
  </si>
  <si>
    <t>01/07/2023</t>
  </si>
  <si>
    <t>04/07/2023</t>
  </si>
  <si>
    <t>05/07/2023</t>
  </si>
  <si>
    <t>06/07/2023</t>
  </si>
  <si>
    <t>08/07/2023</t>
  </si>
  <si>
    <t>10/07/2023</t>
  </si>
  <si>
    <t>12/07/2023</t>
  </si>
  <si>
    <t>13/07/2023</t>
  </si>
  <si>
    <t>14/07/2023</t>
  </si>
  <si>
    <t>16/07/2023</t>
  </si>
  <si>
    <t>21/07/2023</t>
  </si>
  <si>
    <t>22/07/2023</t>
  </si>
  <si>
    <t>23/07/2023</t>
  </si>
  <si>
    <t>24/07/2023</t>
  </si>
  <si>
    <t>25/07/2023</t>
  </si>
  <si>
    <t>01/08/2023</t>
  </si>
  <si>
    <t>02/08/2023</t>
  </si>
  <si>
    <t>03/08/2023</t>
  </si>
  <si>
    <t>04/08/2023</t>
  </si>
  <si>
    <t>05/08/2023</t>
  </si>
  <si>
    <t>06/08/2023</t>
  </si>
  <si>
    <t>10/08/2023</t>
  </si>
  <si>
    <t>14/08/2023</t>
  </si>
  <si>
    <t>15/08/2023</t>
  </si>
  <si>
    <t>16/08/2023</t>
  </si>
  <si>
    <t>17/08/2023</t>
  </si>
  <si>
    <t>19/08/2023</t>
  </si>
  <si>
    <t>21/08/2023</t>
  </si>
  <si>
    <t>24/08/2023</t>
  </si>
  <si>
    <t>28/08/2023</t>
  </si>
  <si>
    <t>01/09/2023</t>
  </si>
  <si>
    <t>02/09/2023</t>
  </si>
  <si>
    <t>04/09/2023</t>
  </si>
  <si>
    <t>08/09/2023</t>
  </si>
  <si>
    <t>09/09/2023</t>
  </si>
  <si>
    <t>10/09/2023</t>
  </si>
  <si>
    <t>11/09/2023</t>
  </si>
  <si>
    <t>12/09/2023</t>
  </si>
  <si>
    <t>13/09/2023</t>
  </si>
  <si>
    <t>15/09/2023</t>
  </si>
  <si>
    <t>17/09/2023</t>
  </si>
  <si>
    <t>18/09/2023</t>
  </si>
  <si>
    <t>23/09/2023</t>
  </si>
  <si>
    <t>25/09/2023</t>
  </si>
  <si>
    <t>27/09/2023</t>
  </si>
  <si>
    <t>28/09/2023</t>
  </si>
  <si>
    <t>01/10/2023</t>
  </si>
  <si>
    <t>02/10/2023</t>
  </si>
  <si>
    <t>08/10/2023</t>
  </si>
  <si>
    <t>12/10/2023</t>
  </si>
  <si>
    <t>14/10/2023</t>
  </si>
  <si>
    <t>16/10/2023</t>
  </si>
  <si>
    <t>17/10/2023</t>
  </si>
  <si>
    <t>18/10/2023</t>
  </si>
  <si>
    <t>19/10/2023</t>
  </si>
  <si>
    <t>20/10/2023</t>
  </si>
  <si>
    <t>21/10/2023</t>
  </si>
  <si>
    <t>23/10/2023</t>
  </si>
  <si>
    <t>24/10/2023</t>
  </si>
  <si>
    <t>25/10/2023</t>
  </si>
  <si>
    <t>27/10/2023</t>
  </si>
  <si>
    <t>01/11/2023</t>
  </si>
  <si>
    <t>03/11/2023</t>
  </si>
  <si>
    <t>05/11/2023</t>
  </si>
  <si>
    <t>07/11/2023</t>
  </si>
  <si>
    <t>17/11/2023</t>
  </si>
  <si>
    <t>18/11/2023</t>
  </si>
  <si>
    <t>21/11/2023</t>
  </si>
  <si>
    <t>22/11/2023</t>
  </si>
  <si>
    <t>24/11/2023</t>
  </si>
  <si>
    <t>26/11/2023</t>
  </si>
  <si>
    <t>27/11/2023</t>
  </si>
  <si>
    <t>01/12/2023</t>
  </si>
  <si>
    <t>04/12/2023</t>
  </si>
  <si>
    <t>06/12/2023</t>
  </si>
  <si>
    <t>09/12/2023</t>
  </si>
  <si>
    <t>10/12/2023</t>
  </si>
  <si>
    <t>12/12/2023</t>
  </si>
  <si>
    <t>18/12/2023</t>
  </si>
  <si>
    <t>25/12/2023</t>
  </si>
  <si>
    <t>26/12/2023</t>
  </si>
  <si>
    <t>28/12/2023</t>
  </si>
  <si>
    <t>01/01/2024</t>
  </si>
  <si>
    <t>02/01/2024</t>
  </si>
  <si>
    <t>06/01/2024</t>
  </si>
  <si>
    <t>08/01/2024</t>
  </si>
  <si>
    <t>10/01/2024</t>
  </si>
  <si>
    <t>14/01/2024</t>
  </si>
  <si>
    <t>16/01/2024</t>
  </si>
  <si>
    <t>17/01/2024</t>
  </si>
  <si>
    <t>19/01/2024</t>
  </si>
  <si>
    <t>20/01/2024</t>
  </si>
  <si>
    <t>21/01/2024</t>
  </si>
  <si>
    <t>22/01/2024</t>
  </si>
  <si>
    <t>23/01/2024</t>
  </si>
  <si>
    <t>26/01/2024</t>
  </si>
  <si>
    <t>27/01/2024</t>
  </si>
  <si>
    <t>28/01/2024</t>
  </si>
  <si>
    <t>01/02/2024</t>
  </si>
  <si>
    <t>05/02/2024</t>
  </si>
  <si>
    <t>07/02/2024</t>
  </si>
  <si>
    <t>11/02/2024</t>
  </si>
  <si>
    <t>13/02/2024</t>
  </si>
  <si>
    <t>14/02/2024</t>
  </si>
  <si>
    <t>15/02/2024</t>
  </si>
  <si>
    <t>20/02/2024</t>
  </si>
  <si>
    <t>21/02/2024</t>
  </si>
  <si>
    <t>22/02/2024</t>
  </si>
  <si>
    <t>23/02/2024</t>
  </si>
  <si>
    <t>24/02/2024</t>
  </si>
  <si>
    <t>28/02/2024</t>
  </si>
  <si>
    <t>01/03/2024</t>
  </si>
  <si>
    <t>02/03/2024</t>
  </si>
  <si>
    <t>04/03/2024</t>
  </si>
  <si>
    <t>09/03/2024</t>
  </si>
  <si>
    <t>11/03/2024</t>
  </si>
  <si>
    <t>12/03/2024</t>
  </si>
  <si>
    <t>15/03/2024</t>
  </si>
  <si>
    <t>16/03/2024</t>
  </si>
  <si>
    <t>17/03/2024</t>
  </si>
  <si>
    <t>19/03/2024</t>
  </si>
  <si>
    <t>20/03/2024</t>
  </si>
  <si>
    <t>21/03/2024</t>
  </si>
  <si>
    <t>22/03/2024</t>
  </si>
  <si>
    <t>23/03/2024</t>
  </si>
  <si>
    <t>25/03/2024</t>
  </si>
  <si>
    <t>26/03/2024</t>
  </si>
  <si>
    <t>27/03/2024</t>
  </si>
  <si>
    <t>01/04/2024</t>
  </si>
  <si>
    <t>05/04/2024</t>
  </si>
  <si>
    <t>08/04/2024</t>
  </si>
  <si>
    <t>10/04/2024</t>
  </si>
  <si>
    <t>11/04/2024</t>
  </si>
  <si>
    <t>12/04/2024</t>
  </si>
  <si>
    <t>17/04/2024</t>
  </si>
  <si>
    <t>19/04/2024</t>
  </si>
  <si>
    <t>24/04/2024</t>
  </si>
  <si>
    <t>25/04/2024</t>
  </si>
  <si>
    <t>26/04/2024</t>
  </si>
  <si>
    <t>28/04/2024</t>
  </si>
  <si>
    <t>01/05/2024</t>
  </si>
  <si>
    <t>04/05/2024</t>
  </si>
  <si>
    <t>06/05/2024</t>
  </si>
  <si>
    <t>07/05/2024</t>
  </si>
  <si>
    <t>09/05/2024</t>
  </si>
  <si>
    <t>10/05/2024</t>
  </si>
  <si>
    <t>11/05/2024</t>
  </si>
  <si>
    <t>14/05/2024</t>
  </si>
  <si>
    <t>15/05/2024</t>
  </si>
  <si>
    <t>21/05/2024</t>
  </si>
  <si>
    <t>23/05/2024</t>
  </si>
  <si>
    <t>26/05/2024</t>
  </si>
  <si>
    <t>28/05/2024</t>
  </si>
  <si>
    <t>01/06/2024</t>
  </si>
  <si>
    <t>03/06/2024</t>
  </si>
  <si>
    <t>04/06/2024</t>
  </si>
  <si>
    <t>06/06/2024</t>
  </si>
  <si>
    <t>08/06/2024</t>
  </si>
  <si>
    <t>09/06/2024</t>
  </si>
  <si>
    <t>11/06/2024</t>
  </si>
  <si>
    <t>16/06/2024</t>
  </si>
  <si>
    <t>19/06/2024</t>
  </si>
  <si>
    <t>20/06/2024</t>
  </si>
  <si>
    <t>24/06/2024</t>
  </si>
  <si>
    <t>27/06/2024</t>
  </si>
  <si>
    <t>28/06/2024</t>
  </si>
  <si>
    <t>01/07/2024</t>
  </si>
  <si>
    <t>02/07/2024</t>
  </si>
  <si>
    <t>04/07/2024</t>
  </si>
  <si>
    <t>10/07/2024</t>
  </si>
  <si>
    <t>15/07/2024</t>
  </si>
  <si>
    <t>16/07/2024</t>
  </si>
  <si>
    <t>18/07/2024</t>
  </si>
  <si>
    <t>20/07/2024</t>
  </si>
  <si>
    <t>21/07/2024</t>
  </si>
  <si>
    <t>23/07/2024</t>
  </si>
  <si>
    <t>26/07/2024</t>
  </si>
  <si>
    <t>28/07/2024</t>
  </si>
  <si>
    <t>01/08/2024</t>
  </si>
  <si>
    <t>06/08/2024</t>
  </si>
  <si>
    <t>08/08/2024</t>
  </si>
  <si>
    <t>09/08/2024</t>
  </si>
  <si>
    <t>11/08/2024</t>
  </si>
  <si>
    <t>13/08/2024</t>
  </si>
  <si>
    <t>16/08/2024</t>
  </si>
  <si>
    <t>17/08/2024</t>
  </si>
  <si>
    <t>18/08/2024</t>
  </si>
  <si>
    <t>19/08/2024</t>
  </si>
  <si>
    <t>22/08/2024</t>
  </si>
  <si>
    <t>01/09/2024</t>
  </si>
  <si>
    <t>02/09/2024</t>
  </si>
  <si>
    <t>03/09/2024</t>
  </si>
  <si>
    <t>04/09/2024</t>
  </si>
  <si>
    <t>05/09/2024</t>
  </si>
  <si>
    <t>06/09/2024</t>
  </si>
  <si>
    <t>08/09/2024</t>
  </si>
  <si>
    <t>11/09/2024</t>
  </si>
  <si>
    <t>12/09/2024</t>
  </si>
  <si>
    <t>13/09/2024</t>
  </si>
  <si>
    <t>16/09/2024</t>
  </si>
  <si>
    <t>17/09/2024</t>
  </si>
  <si>
    <t>18/09/2024</t>
  </si>
  <si>
    <t>20/09/2024</t>
  </si>
  <si>
    <t>23/09/2024</t>
  </si>
  <si>
    <t>25/09/2024</t>
  </si>
  <si>
    <t>27/09/2024</t>
  </si>
  <si>
    <t>01/10/2024</t>
  </si>
  <si>
    <t>04/10/2024</t>
  </si>
  <si>
    <t>05/10/2024</t>
  </si>
  <si>
    <t>07/10/2024</t>
  </si>
  <si>
    <t>09/10/2024</t>
  </si>
  <si>
    <t>12/10/2024</t>
  </si>
  <si>
    <t>13/10/2024</t>
  </si>
  <si>
    <t>15/10/2024</t>
  </si>
  <si>
    <t>19/10/2024</t>
  </si>
  <si>
    <t>21/10/2024</t>
  </si>
  <si>
    <t>22/10/2024</t>
  </si>
  <si>
    <t>23/10/2024</t>
  </si>
  <si>
    <t>24/10/2024</t>
  </si>
  <si>
    <t>26/10/2024</t>
  </si>
  <si>
    <t>01/11/2024</t>
  </si>
  <si>
    <t>02/11/2024</t>
  </si>
  <si>
    <t>04/11/2024</t>
  </si>
  <si>
    <t>08/11/2024</t>
  </si>
  <si>
    <t>09/11/2024</t>
  </si>
  <si>
    <t>11/11/2024</t>
  </si>
  <si>
    <t>13/11/2024</t>
  </si>
  <si>
    <t>15/11/2024</t>
  </si>
  <si>
    <t>16/11/2024</t>
  </si>
  <si>
    <t>17/11/2024</t>
  </si>
  <si>
    <t>22/11/2024</t>
  </si>
  <si>
    <t>23/11/2024</t>
  </si>
  <si>
    <t>24/11/2024</t>
  </si>
  <si>
    <t>27/11/2024</t>
  </si>
  <si>
    <t>28/11/2024</t>
  </si>
  <si>
    <t>01/12/2024</t>
  </si>
  <si>
    <t>04/12/2024</t>
  </si>
  <si>
    <t>06/12/2024</t>
  </si>
  <si>
    <t>07/12/2024</t>
  </si>
  <si>
    <t>10/12/2024</t>
  </si>
  <si>
    <t>11/12/2024</t>
  </si>
  <si>
    <t>12/12/2024</t>
  </si>
  <si>
    <t>13/12/2024</t>
  </si>
  <si>
    <t>15/12/2024</t>
  </si>
  <si>
    <t>16/12/2024</t>
  </si>
  <si>
    <t>17/12/2024</t>
  </si>
  <si>
    <t>25/12/2024</t>
  </si>
  <si>
    <t>27/12/2024</t>
  </si>
  <si>
    <t>01/01/2025</t>
  </si>
  <si>
    <t>03/01/2025</t>
  </si>
  <si>
    <t>05/01/2025</t>
  </si>
  <si>
    <t>09/01/2025</t>
  </si>
  <si>
    <t>11/01/2025</t>
  </si>
  <si>
    <t>15/01/2025</t>
  </si>
  <si>
    <t>16/01/2025</t>
  </si>
  <si>
    <t>19/01/2025</t>
  </si>
  <si>
    <t>21/01/2025</t>
  </si>
  <si>
    <t>22/01/2025</t>
  </si>
  <si>
    <t>24/01/2025</t>
  </si>
  <si>
    <t>25/01/2025</t>
  </si>
  <si>
    <t>01/02/2025</t>
  </si>
  <si>
    <t>02/02/2025</t>
  </si>
  <si>
    <t>05/02/2025</t>
  </si>
  <si>
    <t>08/02/2025</t>
  </si>
  <si>
    <t>10/02/2025</t>
  </si>
  <si>
    <t>12/02/2025</t>
  </si>
  <si>
    <t>13/02/2025</t>
  </si>
  <si>
    <t>14/02/2025</t>
  </si>
  <si>
    <t>16/02/2025</t>
  </si>
  <si>
    <t>22/02/2025</t>
  </si>
  <si>
    <t>23/02/2025</t>
  </si>
  <si>
    <t>24/02/2025</t>
  </si>
  <si>
    <t>28/02/2025</t>
  </si>
  <si>
    <t>01/03/2025</t>
  </si>
  <si>
    <t>02/03/2025</t>
  </si>
  <si>
    <t>03/03/2025</t>
  </si>
  <si>
    <t>04/03/2025</t>
  </si>
  <si>
    <t>05/03/2025</t>
  </si>
  <si>
    <t>07/03/2025</t>
  </si>
  <si>
    <t>09/03/2025</t>
  </si>
  <si>
    <t>10/03/2025</t>
  </si>
  <si>
    <t>11/03/2025</t>
  </si>
  <si>
    <t>12/03/2025</t>
  </si>
  <si>
    <t>13/03/2025</t>
  </si>
  <si>
    <t>16/03/2025</t>
  </si>
  <si>
    <t>17/03/2025</t>
  </si>
  <si>
    <t>21/03/2025</t>
  </si>
  <si>
    <t>23/03/2025</t>
  </si>
  <si>
    <t>24/03/2025</t>
  </si>
  <si>
    <t>25/03/2025</t>
  </si>
  <si>
    <t>27/03/2025</t>
  </si>
  <si>
    <t>01/04/2025</t>
  </si>
  <si>
    <t>06/04/2025</t>
  </si>
  <si>
    <t>10/04/2025</t>
  </si>
  <si>
    <t>11/04/2025</t>
  </si>
  <si>
    <t>12/04/2025</t>
  </si>
  <si>
    <t>13/04/2025</t>
  </si>
  <si>
    <t>14/04/2025</t>
  </si>
  <si>
    <t>15/04/2025</t>
  </si>
  <si>
    <t>17/04/2025</t>
  </si>
  <si>
    <t>19/04/2025</t>
  </si>
  <si>
    <t>20/04/2025</t>
  </si>
  <si>
    <t>25/04/2025</t>
  </si>
  <si>
    <t>28/04/2025</t>
  </si>
  <si>
    <t>01/05/2025</t>
  </si>
  <si>
    <t>02/05/2025</t>
  </si>
  <si>
    <t>03/05/2025</t>
  </si>
  <si>
    <t>04/05/2025</t>
  </si>
  <si>
    <t>07/05/2025</t>
  </si>
  <si>
    <t>08/05/2025</t>
  </si>
  <si>
    <t>12/05/2025</t>
  </si>
  <si>
    <t>15/05/2025</t>
  </si>
  <si>
    <t>16/05/2025</t>
  </si>
  <si>
    <t>18/05/2025</t>
  </si>
  <si>
    <t>20/05/2025</t>
  </si>
  <si>
    <t>22/05/2025</t>
  </si>
  <si>
    <t>23/05/2025</t>
  </si>
  <si>
    <t>26/05/2025</t>
  </si>
  <si>
    <t>01/06/2025</t>
  </si>
  <si>
    <t>03/06/2025</t>
  </si>
  <si>
    <t>05/06/2025</t>
  </si>
  <si>
    <t>06/06/2025</t>
  </si>
  <si>
    <t>08/06/2025</t>
  </si>
  <si>
    <t>10/06/2025</t>
  </si>
  <si>
    <t>14/06/2025</t>
  </si>
  <si>
    <t>16/06/2025</t>
  </si>
  <si>
    <t>19/06/2025</t>
  </si>
  <si>
    <t>24/06/2025</t>
  </si>
  <si>
    <t>25/06/2025</t>
  </si>
  <si>
    <t>26/06/2025</t>
  </si>
  <si>
    <t>27/06/2025</t>
  </si>
  <si>
    <t>01/07/2025</t>
  </si>
  <si>
    <t>04/07/2025</t>
  </si>
  <si>
    <t>06/07/2025</t>
  </si>
  <si>
    <t>07/07/2025</t>
  </si>
  <si>
    <t>09/07/2025</t>
  </si>
  <si>
    <t>11/07/2025</t>
  </si>
  <si>
    <t>15/07/2025</t>
  </si>
  <si>
    <t>18/07/2025</t>
  </si>
  <si>
    <t>22/07/2025</t>
  </si>
  <si>
    <t>23/07/2025</t>
  </si>
  <si>
    <t>24/07/2025</t>
  </si>
  <si>
    <t>25/07/2025</t>
  </si>
  <si>
    <t>26/07/2025</t>
  </si>
  <si>
    <t>01/08/2025</t>
  </si>
  <si>
    <t>03/08/2025</t>
  </si>
  <si>
    <t>04/08/2025</t>
  </si>
  <si>
    <t>11/08/2025</t>
  </si>
  <si>
    <t>12/08/2025</t>
  </si>
  <si>
    <t>13/08/2025</t>
  </si>
  <si>
    <t>18/08/2025</t>
  </si>
  <si>
    <t>20/08/2025</t>
  </si>
  <si>
    <t>22/08/2025</t>
  </si>
  <si>
    <t>26/08/2025</t>
  </si>
  <si>
    <t>27/08/2025</t>
  </si>
  <si>
    <t>28/08/2025</t>
  </si>
  <si>
    <t>01/09/2025</t>
  </si>
  <si>
    <t>04/09/2025</t>
  </si>
  <si>
    <t>08/09/2025</t>
  </si>
  <si>
    <t>12/09/2025</t>
  </si>
  <si>
    <t>13/09/2025</t>
  </si>
  <si>
    <t>14/09/2025</t>
  </si>
  <si>
    <t>18/09/2025</t>
  </si>
  <si>
    <t>21/09/2025</t>
  </si>
  <si>
    <t>23/09/2025</t>
  </si>
  <si>
    <t>24/09/2025</t>
  </si>
  <si>
    <t>25/09/2025</t>
  </si>
  <si>
    <t>01/10/2025</t>
  </si>
  <si>
    <t>02/10/2025</t>
  </si>
  <si>
    <t>04/10/2025</t>
  </si>
  <si>
    <t>06/10/2025</t>
  </si>
  <si>
    <t>07/10/2025</t>
  </si>
  <si>
    <t>09/10/2025</t>
  </si>
  <si>
    <t>11/10/2025</t>
  </si>
  <si>
    <t>16/10/2025</t>
  </si>
  <si>
    <t>18/10/2025</t>
  </si>
  <si>
    <t>21/10/2025</t>
  </si>
  <si>
    <t>23/10/2025</t>
  </si>
  <si>
    <t>27/10/2025</t>
  </si>
  <si>
    <t>28/10/2025</t>
  </si>
  <si>
    <t>01/11/2025</t>
  </si>
  <si>
    <t>03/11/2025</t>
  </si>
  <si>
    <t>04/11/2025</t>
  </si>
  <si>
    <t>05/11/2025</t>
  </si>
  <si>
    <t>08/11/2025</t>
  </si>
  <si>
    <t>09/11/2025</t>
  </si>
  <si>
    <t>16/11/2025</t>
  </si>
  <si>
    <t>19/11/2025</t>
  </si>
  <si>
    <t>20/11/2025</t>
  </si>
  <si>
    <t>21/11/2025</t>
  </si>
  <si>
    <t>22/11/2025</t>
  </si>
  <si>
    <t>24/11/2025</t>
  </si>
  <si>
    <t>28/11/2025</t>
  </si>
  <si>
    <t>01/12/2025</t>
  </si>
  <si>
    <t>04/12/2025</t>
  </si>
  <si>
    <t>10/12/2025</t>
  </si>
  <si>
    <t>13/12/2025</t>
  </si>
  <si>
    <t>14/12/2025</t>
  </si>
  <si>
    <t>17/12/2025</t>
  </si>
  <si>
    <t>18/12/2025</t>
  </si>
  <si>
    <t>19/12/2025</t>
  </si>
  <si>
    <t>23/12/2025</t>
  </si>
  <si>
    <t>26/12/2025</t>
  </si>
  <si>
    <t>27/12/2025</t>
  </si>
  <si>
    <t>Receita</t>
  </si>
  <si>
    <t>Despesa</t>
  </si>
  <si>
    <t>Salário</t>
  </si>
  <si>
    <t>Renda extra</t>
  </si>
  <si>
    <t>Moradia</t>
  </si>
  <si>
    <t>Transporte</t>
  </si>
  <si>
    <t>Retirada de aplicações</t>
  </si>
  <si>
    <t>Renda passiva</t>
  </si>
  <si>
    <t>Vestuário</t>
  </si>
  <si>
    <t>Saúde</t>
  </si>
  <si>
    <t>Subsistência</t>
  </si>
  <si>
    <t>Lazer</t>
  </si>
  <si>
    <t>Salário mensal</t>
  </si>
  <si>
    <t>Freelas e comissões</t>
  </si>
  <si>
    <t>Água</t>
  </si>
  <si>
    <t>Gás</t>
  </si>
  <si>
    <t>Aluguel</t>
  </si>
  <si>
    <t>Manutenção do carro</t>
  </si>
  <si>
    <t>Resgate mensal</t>
  </si>
  <si>
    <t>Juros/dividendos</t>
  </si>
  <si>
    <t>Energia</t>
  </si>
  <si>
    <t>Roupas</t>
  </si>
  <si>
    <t>Internet</t>
  </si>
  <si>
    <t>Exames médicos</t>
  </si>
  <si>
    <t>Hortifruti</t>
  </si>
  <si>
    <t>Mercado</t>
  </si>
  <si>
    <t>Condomínio</t>
  </si>
  <si>
    <t>Acessórios</t>
  </si>
  <si>
    <t>Seguro de carro</t>
  </si>
  <si>
    <t>Iptu</t>
  </si>
  <si>
    <t>Gasolina</t>
  </si>
  <si>
    <t>Cinema</t>
  </si>
  <si>
    <t>Plano de saúde</t>
  </si>
  <si>
    <t>Restaurante</t>
  </si>
  <si>
    <t>Passagem de ônibus</t>
  </si>
  <si>
    <t>Manutenção residencial</t>
  </si>
  <si>
    <t>Consulta particular</t>
  </si>
  <si>
    <t>Uber/táxi</t>
  </si>
  <si>
    <t>Show</t>
  </si>
  <si>
    <t>Açougue</t>
  </si>
  <si>
    <t>Pedágios</t>
  </si>
  <si>
    <t>Padaria</t>
  </si>
  <si>
    <t>Calçados</t>
  </si>
  <si>
    <t>Streaming</t>
  </si>
  <si>
    <t>Viagem</t>
  </si>
  <si>
    <t>Estacionamento</t>
  </si>
  <si>
    <t>Saldo</t>
  </si>
  <si>
    <t>Ano</t>
  </si>
  <si>
    <t>Mês</t>
  </si>
  <si>
    <t>jan</t>
  </si>
  <si>
    <t>fev</t>
  </si>
  <si>
    <t>mar</t>
  </si>
  <si>
    <t>abr</t>
  </si>
  <si>
    <t>mai</t>
  </si>
  <si>
    <t>jun</t>
  </si>
  <si>
    <t>jul</t>
  </si>
  <si>
    <t>ago</t>
  </si>
  <si>
    <t>set</t>
  </si>
  <si>
    <t>out</t>
  </si>
  <si>
    <t>nov</t>
  </si>
  <si>
    <t>dez</t>
  </si>
  <si>
    <t>Mês_extenso</t>
  </si>
  <si>
    <t>Categoria_receita</t>
  </si>
  <si>
    <t>Outras Receitas</t>
  </si>
  <si>
    <t xml:space="preserve"> </t>
  </si>
  <si>
    <t>%</t>
  </si>
  <si>
    <t>% do ano na base</t>
  </si>
  <si>
    <t>Row Labels</t>
  </si>
  <si>
    <t>Column Labels</t>
  </si>
  <si>
    <t>Sum of Valor</t>
  </si>
  <si>
    <t xml:space="preserve">  </t>
  </si>
  <si>
    <t>Sum of Saldo</t>
  </si>
  <si>
    <t>Dia</t>
  </si>
  <si>
    <t>Despesa mês</t>
  </si>
  <si>
    <t>Despesa Ano</t>
  </si>
  <si>
    <t>% Inteiro</t>
  </si>
  <si>
    <t>Falta para 100</t>
  </si>
  <si>
    <t>Total</t>
  </si>
  <si>
    <t>% do mes no Ano</t>
  </si>
  <si>
    <t>Sum of Valor2</t>
  </si>
  <si>
    <t>Sum of Saldo2</t>
  </si>
  <si>
    <t>Saldo do Mês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</si>
</sst>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0.00\ &quot;Kz&quot;_-;\-* #,##0.00\ &quot;Kz&quot;_-;_-* &quot;-&quot;??\ &quot;Kz&quot;_-;_-@_-"/>
    <numFmt numFmtId="164" formatCode="&quot;R$&quot;\ #,##0"/>
    <numFmt numFmtId="165" formatCode="0.0%"/>
    <numFmt numFmtId="166" formatCode="_-[$R$-416]\ * #,##0_-;\-[$R$-416]\ * #,##0_-;_-[$R$-416]\ * &quot;-&quot;??_-;_-@_-"/>
    <numFmt numFmtId="167" formatCode="_-[$R$-416]\ * #,##0_-;\-[$R$-416]\ * #,##0_-;_-[$R$-416]\ *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12161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7" fontId="0" fillId="0" borderId="0" xfId="2" applyNumberFormat="1" applyFont="1"/>
    <xf numFmtId="9" fontId="0" fillId="0" borderId="0" xfId="1" applyFont="1"/>
    <xf numFmtId="165" fontId="0" fillId="0" borderId="0" xfId="1" applyNumberFormat="1" applyFont="1"/>
    <xf numFmtId="0" fontId="3" fillId="2" borderId="0" xfId="0" applyFont="1" applyFill="1" applyAlignment="1">
      <alignment horizontal="left"/>
    </xf>
  </cellXfs>
  <cellStyles count="3">
    <cellStyle name="Currency" xfId="2" builtinId="4"/>
    <cellStyle name="Normal" xfId="0" builtinId="0"/>
    <cellStyle name="Percent" xfId="1" builtinId="5"/>
  </cellStyles>
  <dxfs count="2">
    <dxf>
      <font>
        <sz val="12"/>
        <color theme="0"/>
        <name val="Montserrat"/>
      </font>
      <fill>
        <patternFill>
          <bgColor rgb="FF212529"/>
        </patternFill>
      </fill>
    </dxf>
    <dxf>
      <font>
        <sz val="12"/>
        <color theme="0"/>
        <name val="Montserrat"/>
      </font>
      <fill>
        <patternFill>
          <bgColor rgb="FF0D0E25"/>
        </patternFill>
      </fill>
    </dxf>
  </dxfs>
  <tableStyles count="2" defaultTableStyle="TableStyleMedium2" defaultPivotStyle="PivotStyleLight16">
    <tableStyle name="Slicer Style 1" pivot="0" table="0" count="3" xr9:uid="{A7E13B76-E697-4940-9AB7-961A2F82D3E1}">
      <tableStyleElement type="wholeTable" dxfId="1"/>
    </tableStyle>
    <tableStyle name="Slicer Style 1 2" pivot="0" table="0" count="3" xr9:uid="{882516A2-84FC-4779-9270-F0283C14B45A}">
      <tableStyleElement type="wholeTable" dxfId="0"/>
    </tableStyle>
  </tableStyles>
  <colors>
    <mruColors>
      <color rgb="FF212529"/>
      <color rgb="FF6A6CFB"/>
      <color rgb="FF0D0E25"/>
      <color rgb="FFCA4CCC"/>
      <color rgb="FF121617"/>
      <color rgb="FFED8416"/>
      <color rgb="FF3DAF58"/>
      <color rgb="FFFFCC3E"/>
      <color rgb="FF4946D8"/>
      <color rgb="FF1D1F4F"/>
    </mruColors>
  </colors>
  <extLst>
    <ext xmlns:x14="http://schemas.microsoft.com/office/spreadsheetml/2009/9/main" uri="{46F421CA-312F-682f-3DD2-61675219B42D}">
      <x14:dxfs count="4">
        <dxf>
          <font>
            <sz val="12"/>
            <color theme="0"/>
            <name val="Montserrat"/>
          </font>
          <fill>
            <patternFill>
              <bgColor rgb="FF6A6CFB"/>
            </patternFill>
          </fill>
        </dxf>
        <dxf>
          <font>
            <sz val="12"/>
            <color theme="0"/>
            <name val="Montserrat"/>
          </font>
          <fill>
            <patternFill>
              <bgColor rgb="FF6A6CFB"/>
            </patternFill>
          </fill>
        </dxf>
        <dxf>
          <font>
            <sz val="12"/>
            <color theme="0"/>
            <name val="Montserrat"/>
          </font>
          <fill>
            <patternFill>
              <bgColor rgb="FF6A6CFB"/>
            </patternFill>
          </fill>
        </dxf>
        <dxf>
          <font>
            <sz val="12"/>
            <color theme="0"/>
            <name val="Montserrat"/>
          </font>
          <fill>
            <patternFill>
              <bgColor rgb="FF6A6CFB"/>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hoveredSelectedItemWithData" dxfId="2"/>
          </x14:slicerStyleElements>
        </x14:slicerStyle>
        <x14:slicerStyle name="Slicer Style 1 2">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[10-02 - Dashboard Finanças Pessoais.xlsx]Análise do Zero!t_mes_receita</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A4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A6C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A6C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A4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3016694384933"/>
          <c:y val="0.21532292976083822"/>
          <c:w val="0.78727363872780964"/>
          <c:h val="0.65993004095220231"/>
        </c:manualLayout>
      </c:layout>
      <c:barChart>
        <c:barDir val="col"/>
        <c:grouping val="clustered"/>
        <c:varyColors val="0"/>
        <c:ser>
          <c:idx val="0"/>
          <c:order val="0"/>
          <c:tx>
            <c:strRef>
              <c:f>'Análise do Zero'!$B$3:$B$4</c:f>
              <c:strCache>
                <c:ptCount val="1"/>
                <c:pt idx="0">
                  <c:v>Salário</c:v>
                </c:pt>
              </c:strCache>
            </c:strRef>
          </c:tx>
          <c:spPr>
            <a:solidFill>
              <a:srgbClr val="6A6CFB"/>
            </a:solidFill>
            <a:ln>
              <a:noFill/>
            </a:ln>
            <a:effectLst/>
          </c:spPr>
          <c:invertIfNegative val="0"/>
          <c:cat>
            <c:strRef>
              <c:f>'Análise do Zero'!$A$5:$A$16</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'Análise do Zero'!$B$5:$B$16</c:f>
              <c:numCache>
                <c:formatCode>"R$"\ #\ ##0</c:formatCode>
                <c:ptCount val="12"/>
                <c:pt idx="0">
                  <c:v>7084</c:v>
                </c:pt>
                <c:pt idx="1">
                  <c:v>7089</c:v>
                </c:pt>
                <c:pt idx="2">
                  <c:v>6917</c:v>
                </c:pt>
                <c:pt idx="3">
                  <c:v>7190</c:v>
                </c:pt>
                <c:pt idx="4">
                  <c:v>7229</c:v>
                </c:pt>
                <c:pt idx="5">
                  <c:v>7241</c:v>
                </c:pt>
                <c:pt idx="6">
                  <c:v>7261</c:v>
                </c:pt>
                <c:pt idx="7">
                  <c:v>7081</c:v>
                </c:pt>
                <c:pt idx="8">
                  <c:v>7223</c:v>
                </c:pt>
                <c:pt idx="9">
                  <c:v>6896</c:v>
                </c:pt>
                <c:pt idx="10">
                  <c:v>7045</c:v>
                </c:pt>
                <c:pt idx="11">
                  <c:v>6985</c:v>
                </c:pt>
              </c:numCache>
            </c:numRef>
          </c:val>
          <c:extLst>
            <c:ext xmlns:c16="http://schemas.microsoft.com/office/drawing/2014/chart" uri="{C3380CC4-5D6E-409C-BE32-E72D297353CC}">
              <c16:uniqueId val="{00000000-05FF-4A4F-8710-290CC609C868}"/>
            </c:ext>
          </c:extLst>
        </c:ser>
        <c:ser>
          <c:idx val="1"/>
          <c:order val="1"/>
          <c:tx>
            <c:strRef>
              <c:f>'Análise do Zero'!$C$3:$C$4</c:f>
              <c:strCache>
                <c:ptCount val="1"/>
                <c:pt idx="0">
                  <c:v>Outras Receitas</c:v>
                </c:pt>
              </c:strCache>
            </c:strRef>
          </c:tx>
          <c:spPr>
            <a:solidFill>
              <a:srgbClr val="CA4CCC"/>
            </a:solidFill>
            <a:ln>
              <a:noFill/>
            </a:ln>
            <a:effectLst/>
          </c:spPr>
          <c:invertIfNegative val="0"/>
          <c:cat>
            <c:strRef>
              <c:f>'Análise do Zero'!$A$5:$A$16</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'Análise do Zero'!$C$5:$C$16</c:f>
              <c:numCache>
                <c:formatCode>"R$"\ #\ ##0</c:formatCode>
                <c:ptCount val="12"/>
                <c:pt idx="0">
                  <c:v>2943</c:v>
                </c:pt>
                <c:pt idx="1">
                  <c:v>2423</c:v>
                </c:pt>
                <c:pt idx="2">
                  <c:v>1939</c:v>
                </c:pt>
                <c:pt idx="3">
                  <c:v>3429</c:v>
                </c:pt>
                <c:pt idx="4">
                  <c:v>2219</c:v>
                </c:pt>
                <c:pt idx="5">
                  <c:v>1825</c:v>
                </c:pt>
                <c:pt idx="6">
                  <c:v>2949</c:v>
                </c:pt>
                <c:pt idx="7">
                  <c:v>2013</c:v>
                </c:pt>
                <c:pt idx="8">
                  <c:v>1723</c:v>
                </c:pt>
                <c:pt idx="9">
                  <c:v>2596</c:v>
                </c:pt>
                <c:pt idx="10">
                  <c:v>2151</c:v>
                </c:pt>
                <c:pt idx="11">
                  <c:v>1682</c:v>
                </c:pt>
              </c:numCache>
            </c:numRef>
          </c:val>
          <c:extLst>
            <c:ext xmlns:c16="http://schemas.microsoft.com/office/drawing/2014/chart" uri="{C3380CC4-5D6E-409C-BE32-E72D297353CC}">
              <c16:uniqueId val="{00000002-05FF-4A4F-8710-290CC609C868}"/>
            </c:ext>
          </c:extLst>
        </c:ser>
        <c:dLbls>
          <c:showLegendKey val="0"/>
          <c:showVal val="0"/>
          <c:showCatName val="0"/>
          <c:showSerName val="0"/>
          <c:showPercent val="0"/>
          <c:showBubbleSize val="0"/>
        </c:dLbls>
        <c:gapWidth val="110"/>
        <c:overlap val="-27"/>
        <c:axId val="228567871"/>
        <c:axId val="228572191"/>
      </c:barChart>
      <c:catAx>
        <c:axId val="22856787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ontserrat" panose="00000500000000000000" pitchFamily="2" charset="0"/>
                <a:ea typeface="+mn-ea"/>
                <a:cs typeface="+mn-cs"/>
              </a:defRPr>
            </a:pPr>
            <a:endParaRPr lang="pt-AO"/>
          </a:p>
        </c:txPr>
        <c:crossAx val="228572191"/>
        <c:crosses val="autoZero"/>
        <c:auto val="1"/>
        <c:lblAlgn val="ctr"/>
        <c:lblOffset val="100"/>
        <c:noMultiLvlLbl val="0"/>
      </c:catAx>
      <c:valAx>
        <c:axId val="228572191"/>
        <c:scaling>
          <c:orientation val="minMax"/>
        </c:scaling>
        <c:delete val="0"/>
        <c:axPos val="l"/>
        <c:majorGridlines>
          <c:spPr>
            <a:ln w="9525" cap="flat" cmpd="sng" algn="ctr">
              <a:solidFill>
                <a:srgbClr val="121617"/>
              </a:solidFill>
              <a:round/>
            </a:ln>
            <a:effectLst/>
          </c:spPr>
        </c:majorGridlines>
        <c:numFmt formatCode="&quot;R$&quot;\ #\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ontserrat" panose="00000500000000000000" pitchFamily="2" charset="0"/>
                <a:ea typeface="+mn-ea"/>
                <a:cs typeface="+mn-cs"/>
              </a:defRPr>
            </a:pPr>
            <a:endParaRPr lang="pt-AO"/>
          </a:p>
        </c:txPr>
        <c:crossAx val="228567871"/>
        <c:crosses val="autoZero"/>
        <c:crossBetween val="between"/>
      </c:valAx>
      <c:spPr>
        <a:noFill/>
        <a:ln>
          <a:noFill/>
        </a:ln>
        <a:effectLst/>
      </c:spPr>
    </c:plotArea>
    <c:legend>
      <c:legendPos val="t"/>
      <c:layout>
        <c:manualLayout>
          <c:xMode val="edge"/>
          <c:yMode val="edge"/>
          <c:x val="3.7864171237476539E-4"/>
          <c:y val="2.3696254575002241E-3"/>
          <c:w val="0.35169072666829959"/>
          <c:h val="9.9139517602039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ontserrat" panose="00000500000000000000" pitchFamily="2" charset="0"/>
              <a:ea typeface="+mn-ea"/>
              <a:cs typeface="+mn-cs"/>
            </a:defRPr>
          </a:pPr>
          <a:endParaRPr lang="pt-A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[10-02 - Dashboard Finanças Pessoais.xlsx]Análise do Zero!t_desc_despesas</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A6CFB"/>
          </a:solidFill>
          <a:ln>
            <a:noFill/>
          </a:ln>
          <a:effectLst>
            <a:outerShdw blurRad="50800" dist="508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ontserrat" panose="00000500000000000000" pitchFamily="2" charset="0"/>
                  <a:ea typeface="+mn-ea"/>
                  <a:cs typeface="+mn-cs"/>
                </a:defRPr>
              </a:pPr>
              <a:endParaRPr lang="pt-A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85806275546343"/>
          <c:y val="0.11645565235287794"/>
          <c:w val="0.67536297654565913"/>
          <c:h val="0.8382560383987806"/>
        </c:manualLayout>
      </c:layout>
      <c:barChart>
        <c:barDir val="bar"/>
        <c:grouping val="clustered"/>
        <c:varyColors val="0"/>
        <c:ser>
          <c:idx val="0"/>
          <c:order val="0"/>
          <c:tx>
            <c:strRef>
              <c:f>'Análise do Zero'!$F$3</c:f>
              <c:strCache>
                <c:ptCount val="1"/>
                <c:pt idx="0">
                  <c:v>Total</c:v>
                </c:pt>
              </c:strCache>
            </c:strRef>
          </c:tx>
          <c:spPr>
            <a:solidFill>
              <a:srgbClr val="6A6CFB"/>
            </a:solidFill>
            <a:ln>
              <a:noFill/>
            </a:ln>
            <a:effectLst>
              <a:outerShdw blurRad="50800" dist="50800" algn="ctr" rotWithShape="0">
                <a:srgbClr val="000000">
                  <a:alpha val="43137"/>
                </a:srgb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ontserrat" panose="00000500000000000000" pitchFamily="2" charset="0"/>
                    <a:ea typeface="+mn-ea"/>
                    <a:cs typeface="+mn-cs"/>
                  </a:defRPr>
                </a:pPr>
                <a:endParaRPr lang="pt-A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 do Zero'!$E$4:$E$6</c:f>
              <c:strCache>
                <c:ptCount val="3"/>
                <c:pt idx="0">
                  <c:v>Consulta particular</c:v>
                </c:pt>
                <c:pt idx="1">
                  <c:v>Exames médicos</c:v>
                </c:pt>
                <c:pt idx="2">
                  <c:v>Plano de saúde</c:v>
                </c:pt>
              </c:strCache>
            </c:strRef>
          </c:cat>
          <c:val>
            <c:numRef>
              <c:f>'Análise do Zero'!$F$4:$F$6</c:f>
              <c:numCache>
                <c:formatCode>"R$"\ #\ ##0</c:formatCode>
                <c:ptCount val="3"/>
                <c:pt idx="0">
                  <c:v>1054</c:v>
                </c:pt>
                <c:pt idx="1">
                  <c:v>4450</c:v>
                </c:pt>
                <c:pt idx="2">
                  <c:v>8553</c:v>
                </c:pt>
              </c:numCache>
            </c:numRef>
          </c:val>
          <c:extLst>
            <c:ext xmlns:c16="http://schemas.microsoft.com/office/drawing/2014/chart" uri="{C3380CC4-5D6E-409C-BE32-E72D297353CC}">
              <c16:uniqueId val="{00000001-1ACC-4AB5-8CE0-3DD0D0E88A09}"/>
            </c:ext>
          </c:extLst>
        </c:ser>
        <c:dLbls>
          <c:dLblPos val="outEnd"/>
          <c:showLegendKey val="0"/>
          <c:showVal val="1"/>
          <c:showCatName val="0"/>
          <c:showSerName val="0"/>
          <c:showPercent val="0"/>
          <c:showBubbleSize val="0"/>
        </c:dLbls>
        <c:gapWidth val="182"/>
        <c:axId val="366910591"/>
        <c:axId val="366909151"/>
      </c:barChart>
      <c:catAx>
        <c:axId val="3669105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ontserrat" panose="00000500000000000000" pitchFamily="2" charset="0"/>
                <a:ea typeface="+mn-ea"/>
                <a:cs typeface="+mn-cs"/>
              </a:defRPr>
            </a:pPr>
            <a:endParaRPr lang="pt-AO"/>
          </a:p>
        </c:txPr>
        <c:crossAx val="366909151"/>
        <c:crosses val="autoZero"/>
        <c:auto val="1"/>
        <c:lblAlgn val="ctr"/>
        <c:lblOffset val="100"/>
        <c:noMultiLvlLbl val="0"/>
      </c:catAx>
      <c:valAx>
        <c:axId val="366909151"/>
        <c:scaling>
          <c:orientation val="minMax"/>
        </c:scaling>
        <c:delete val="1"/>
        <c:axPos val="b"/>
        <c:numFmt formatCode="&quot;R$&quot;\ #\ ##0" sourceLinked="1"/>
        <c:majorTickMark val="none"/>
        <c:minorTickMark val="none"/>
        <c:tickLblPos val="nextTo"/>
        <c:crossAx val="36691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[10-02 - Dashboard Finanças Pessoais.xlsx]Análise do Zero!t_mes_rec_e_desp</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A4C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A6CF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6A6CFB"/>
              </a:gs>
              <a:gs pos="30000">
                <a:srgbClr val="6A6CFB">
                  <a:alpha val="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30000">
                <a:srgbClr val="CA4CCC">
                  <a:alpha val="0"/>
                </a:srgbClr>
              </a:gs>
              <a:gs pos="0">
                <a:srgbClr val="CA4CC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'Análise do Zero'!$J$3:$J$5</c:f>
              <c:strCache>
                <c:ptCount val="1"/>
                <c:pt idx="0">
                  <c:v>Despesa - Sum of Valor2</c:v>
                </c:pt>
              </c:strCache>
            </c:strRef>
          </c:tx>
          <c:spPr>
            <a:gradFill>
              <a:gsLst>
                <a:gs pos="30000">
                  <a:srgbClr val="CA4CCC">
                    <a:alpha val="0"/>
                  </a:srgbClr>
                </a:gs>
                <a:gs pos="0">
                  <a:srgbClr val="CA4CCC"/>
                </a:gs>
              </a:gsLst>
              <a:lin ang="5400000" scaled="1"/>
            </a:gradFill>
            <a:ln>
              <a:noFill/>
            </a:ln>
            <a:effectLst/>
          </c:spPr>
          <c:cat>
            <c:strRef>
              <c:f>'Análise do Zero'!$H$6:$H$17</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'Análise do Zero'!$J$6:$J$17</c:f>
              <c:numCache>
                <c:formatCode>"R$"\ #\ ##0</c:formatCode>
                <c:ptCount val="12"/>
                <c:pt idx="0">
                  <c:v>11120</c:v>
                </c:pt>
                <c:pt idx="1">
                  <c:v>8065</c:v>
                </c:pt>
                <c:pt idx="2">
                  <c:v>10457</c:v>
                </c:pt>
                <c:pt idx="3">
                  <c:v>8069</c:v>
                </c:pt>
                <c:pt idx="4">
                  <c:v>7650</c:v>
                </c:pt>
                <c:pt idx="5">
                  <c:v>7761</c:v>
                </c:pt>
                <c:pt idx="6">
                  <c:v>7650</c:v>
                </c:pt>
                <c:pt idx="7">
                  <c:v>9616</c:v>
                </c:pt>
                <c:pt idx="8">
                  <c:v>10146</c:v>
                </c:pt>
                <c:pt idx="9">
                  <c:v>7332</c:v>
                </c:pt>
                <c:pt idx="10">
                  <c:v>6734</c:v>
                </c:pt>
                <c:pt idx="11">
                  <c:v>8400</c:v>
                </c:pt>
              </c:numCache>
            </c:numRef>
          </c:val>
          <c:extLst>
            <c:ext xmlns:c16="http://schemas.microsoft.com/office/drawing/2014/chart" uri="{C3380CC4-5D6E-409C-BE32-E72D297353CC}">
              <c16:uniqueId val="{00000001-B9CB-4E4B-9BED-D5CF42340CE1}"/>
            </c:ext>
          </c:extLst>
        </c:ser>
        <c:ser>
          <c:idx val="3"/>
          <c:order val="3"/>
          <c:tx>
            <c:strRef>
              <c:f>'Análise do Zero'!$L$3:$L$5</c:f>
              <c:strCache>
                <c:ptCount val="1"/>
                <c:pt idx="0">
                  <c:v>Receita - Sum of Valor2</c:v>
                </c:pt>
              </c:strCache>
            </c:strRef>
          </c:tx>
          <c:spPr>
            <a:gradFill>
              <a:gsLst>
                <a:gs pos="0">
                  <a:srgbClr val="6A6CFB"/>
                </a:gs>
                <a:gs pos="30000">
                  <a:srgbClr val="6A6CFB">
                    <a:alpha val="0"/>
                  </a:srgbClr>
                </a:gs>
              </a:gsLst>
              <a:lin ang="5400000" scaled="1"/>
            </a:gradFill>
            <a:ln>
              <a:noFill/>
            </a:ln>
            <a:effectLst/>
          </c:spPr>
          <c:cat>
            <c:strRef>
              <c:f>'Análise do Zero'!$H$6:$H$17</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'Análise do Zero'!$L$6:$L$17</c:f>
              <c:numCache>
                <c:formatCode>"R$"\ #\ ##0</c:formatCode>
                <c:ptCount val="12"/>
                <c:pt idx="0">
                  <c:v>10027</c:v>
                </c:pt>
                <c:pt idx="1">
                  <c:v>9512</c:v>
                </c:pt>
                <c:pt idx="2">
                  <c:v>8856</c:v>
                </c:pt>
                <c:pt idx="3">
                  <c:v>10619</c:v>
                </c:pt>
                <c:pt idx="4">
                  <c:v>9448</c:v>
                </c:pt>
                <c:pt idx="5">
                  <c:v>9066</c:v>
                </c:pt>
                <c:pt idx="6">
                  <c:v>10210</c:v>
                </c:pt>
                <c:pt idx="7">
                  <c:v>9094</c:v>
                </c:pt>
                <c:pt idx="8">
                  <c:v>8946</c:v>
                </c:pt>
                <c:pt idx="9">
                  <c:v>9492</c:v>
                </c:pt>
                <c:pt idx="10">
                  <c:v>9196</c:v>
                </c:pt>
                <c:pt idx="11">
                  <c:v>8667</c:v>
                </c:pt>
              </c:numCache>
            </c:numRef>
          </c:val>
          <c:extLst>
            <c:ext xmlns:c16="http://schemas.microsoft.com/office/drawing/2014/chart" uri="{C3380CC4-5D6E-409C-BE32-E72D297353CC}">
              <c16:uniqueId val="{00000003-B9CB-4E4B-9BED-D5CF42340CE1}"/>
            </c:ext>
          </c:extLst>
        </c:ser>
        <c:dLbls>
          <c:showLegendKey val="0"/>
          <c:showVal val="0"/>
          <c:showCatName val="0"/>
          <c:showSerName val="0"/>
          <c:showPercent val="0"/>
          <c:showBubbleSize val="0"/>
        </c:dLbls>
        <c:axId val="366908671"/>
        <c:axId val="366897151"/>
      </c:areaChart>
      <c:lineChart>
        <c:grouping val="standard"/>
        <c:varyColors val="0"/>
        <c:ser>
          <c:idx val="0"/>
          <c:order val="0"/>
          <c:tx>
            <c:strRef>
              <c:f>'Análise do Zero'!$I$3:$I$5</c:f>
              <c:strCache>
                <c:ptCount val="1"/>
                <c:pt idx="0">
                  <c:v>Despesa -  </c:v>
                </c:pt>
              </c:strCache>
            </c:strRef>
          </c:tx>
          <c:spPr>
            <a:ln w="28575" cap="rnd">
              <a:solidFill>
                <a:srgbClr val="CA4CCC"/>
              </a:solidFill>
              <a:round/>
            </a:ln>
            <a:effectLst/>
          </c:spPr>
          <c:marker>
            <c:symbol val="none"/>
          </c:marker>
          <c:cat>
            <c:strRef>
              <c:f>'Análise do Zero'!$H$6:$H$17</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'Análise do Zero'!$I$6:$I$17</c:f>
              <c:numCache>
                <c:formatCode>"R$"\ #\ ##0</c:formatCode>
                <c:ptCount val="12"/>
                <c:pt idx="0">
                  <c:v>11120</c:v>
                </c:pt>
                <c:pt idx="1">
                  <c:v>8065</c:v>
                </c:pt>
                <c:pt idx="2">
                  <c:v>10457</c:v>
                </c:pt>
                <c:pt idx="3">
                  <c:v>8069</c:v>
                </c:pt>
                <c:pt idx="4">
                  <c:v>7650</c:v>
                </c:pt>
                <c:pt idx="5">
                  <c:v>7761</c:v>
                </c:pt>
                <c:pt idx="6">
                  <c:v>7650</c:v>
                </c:pt>
                <c:pt idx="7">
                  <c:v>9616</c:v>
                </c:pt>
                <c:pt idx="8">
                  <c:v>10146</c:v>
                </c:pt>
                <c:pt idx="9">
                  <c:v>7332</c:v>
                </c:pt>
                <c:pt idx="10">
                  <c:v>6734</c:v>
                </c:pt>
                <c:pt idx="11">
                  <c:v>8400</c:v>
                </c:pt>
              </c:numCache>
            </c:numRef>
          </c:val>
          <c:smooth val="1"/>
          <c:extLst>
            <c:ext xmlns:c16="http://schemas.microsoft.com/office/drawing/2014/chart" uri="{C3380CC4-5D6E-409C-BE32-E72D297353CC}">
              <c16:uniqueId val="{00000000-B9CB-4E4B-9BED-D5CF42340CE1}"/>
            </c:ext>
          </c:extLst>
        </c:ser>
        <c:ser>
          <c:idx val="2"/>
          <c:order val="2"/>
          <c:tx>
            <c:strRef>
              <c:f>'Análise do Zero'!$K$3:$K$5</c:f>
              <c:strCache>
                <c:ptCount val="1"/>
                <c:pt idx="0">
                  <c:v>Receita -  </c:v>
                </c:pt>
              </c:strCache>
            </c:strRef>
          </c:tx>
          <c:spPr>
            <a:ln w="28575" cap="rnd">
              <a:solidFill>
                <a:srgbClr val="6A6CFB"/>
              </a:solidFill>
              <a:round/>
            </a:ln>
            <a:effectLst/>
          </c:spPr>
          <c:marker>
            <c:symbol val="none"/>
          </c:marker>
          <c:cat>
            <c:strRef>
              <c:f>'Análise do Zero'!$H$6:$H$17</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'Análise do Zero'!$K$6:$K$17</c:f>
              <c:numCache>
                <c:formatCode>"R$"\ #\ ##0</c:formatCode>
                <c:ptCount val="12"/>
                <c:pt idx="0">
                  <c:v>10027</c:v>
                </c:pt>
                <c:pt idx="1">
                  <c:v>9512</c:v>
                </c:pt>
                <c:pt idx="2">
                  <c:v>8856</c:v>
                </c:pt>
                <c:pt idx="3">
                  <c:v>10619</c:v>
                </c:pt>
                <c:pt idx="4">
                  <c:v>9448</c:v>
                </c:pt>
                <c:pt idx="5">
                  <c:v>9066</c:v>
                </c:pt>
                <c:pt idx="6">
                  <c:v>10210</c:v>
                </c:pt>
                <c:pt idx="7">
                  <c:v>9094</c:v>
                </c:pt>
                <c:pt idx="8">
                  <c:v>8946</c:v>
                </c:pt>
                <c:pt idx="9">
                  <c:v>9492</c:v>
                </c:pt>
                <c:pt idx="10">
                  <c:v>9196</c:v>
                </c:pt>
                <c:pt idx="11">
                  <c:v>8667</c:v>
                </c:pt>
              </c:numCache>
            </c:numRef>
          </c:val>
          <c:smooth val="1"/>
          <c:extLst>
            <c:ext xmlns:c16="http://schemas.microsoft.com/office/drawing/2014/chart" uri="{C3380CC4-5D6E-409C-BE32-E72D297353CC}">
              <c16:uniqueId val="{00000002-B9CB-4E4B-9BED-D5CF42340CE1}"/>
            </c:ext>
          </c:extLst>
        </c:ser>
        <c:dLbls>
          <c:showLegendKey val="0"/>
          <c:showVal val="0"/>
          <c:showCatName val="0"/>
          <c:showSerName val="0"/>
          <c:showPercent val="0"/>
          <c:showBubbleSize val="0"/>
        </c:dLbls>
        <c:marker val="1"/>
        <c:smooth val="0"/>
        <c:axId val="366908671"/>
        <c:axId val="366897151"/>
      </c:lineChart>
      <c:catAx>
        <c:axId val="3669086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ontserrat" panose="00000500000000000000" pitchFamily="2" charset="0"/>
                <a:ea typeface="+mn-ea"/>
                <a:cs typeface="+mn-cs"/>
              </a:defRPr>
            </a:pPr>
            <a:endParaRPr lang="pt-AO"/>
          </a:p>
        </c:txPr>
        <c:crossAx val="366897151"/>
        <c:crosses val="autoZero"/>
        <c:auto val="1"/>
        <c:lblAlgn val="ctr"/>
        <c:lblOffset val="100"/>
        <c:noMultiLvlLbl val="0"/>
      </c:catAx>
      <c:valAx>
        <c:axId val="366897151"/>
        <c:scaling>
          <c:orientation val="minMax"/>
        </c:scaling>
        <c:delete val="0"/>
        <c:axPos val="l"/>
        <c:numFmt formatCode="&quot;R$&quot;\ #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ontserrat" panose="00000500000000000000" pitchFamily="2" charset="0"/>
                <a:ea typeface="+mn-ea"/>
                <a:cs typeface="+mn-cs"/>
              </a:defRPr>
            </a:pPr>
            <a:endParaRPr lang="pt-AO"/>
          </a:p>
        </c:txPr>
        <c:crossAx val="366908671"/>
        <c:crosses val="autoZero"/>
        <c:crossBetween val="between"/>
      </c:valAx>
      <c:spPr>
        <a:noFill/>
        <a:ln w="25400">
          <a:noFill/>
        </a:ln>
        <a:effectLst/>
      </c:spPr>
    </c:plotArea>
    <c:legend>
      <c:legendPos val="t"/>
      <c:legendEntry>
        <c:idx val="0"/>
        <c:delete val="1"/>
      </c:legendEntry>
      <c:legendEntry>
        <c:idx val="1"/>
        <c:delete val="1"/>
      </c:legendEntry>
      <c:layout>
        <c:manualLayout>
          <c:xMode val="edge"/>
          <c:yMode val="edge"/>
          <c:x val="6.898512552079526E-5"/>
          <c:y val="0"/>
          <c:w val="0.41988088958073216"/>
          <c:h val="0.13975121835650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ontserrat" panose="00000500000000000000" pitchFamily="2" charset="0"/>
              <a:ea typeface="+mn-ea"/>
              <a:cs typeface="+mn-cs"/>
            </a:defRPr>
          </a:pPr>
          <a:endParaRPr lang="pt-A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[10-02 - Dashboard Finanças Pessoais.xlsx]Análise do Zero!t_despesas_mes</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noFill/>
          </a:ln>
          <a:effectLst/>
        </c:spPr>
      </c:pivotFmt>
      <c:pivotFmt>
        <c:idx val="10"/>
        <c:spPr>
          <a:solidFill>
            <a:schemeClr val="tx2">
              <a:lumMod val="60000"/>
              <a:lumOff val="40000"/>
            </a:schemeClr>
          </a:solidFill>
          <a:ln w="19050">
            <a:noFill/>
          </a:ln>
          <a:effectLst/>
        </c:spPr>
      </c:pivotFmt>
      <c:pivotFmt>
        <c:idx val="11"/>
        <c:spPr>
          <a:solidFill>
            <a:srgbClr val="00B050"/>
          </a:solidFill>
          <a:ln w="19050">
            <a:noFill/>
          </a:ln>
          <a:effectLst/>
        </c:spPr>
      </c:pivotFmt>
      <c:pivotFmt>
        <c:idx val="12"/>
        <c:spPr>
          <a:solidFill>
            <a:srgbClr val="FFFF00"/>
          </a:solidFill>
          <a:ln w="19050">
            <a:noFill/>
          </a:ln>
          <a:effectLst/>
        </c:spPr>
      </c:pivotFmt>
      <c:pivotFmt>
        <c:idx val="13"/>
        <c:spPr>
          <a:solidFill>
            <a:schemeClr val="accent2"/>
          </a:solidFill>
          <a:ln w="19050">
            <a:noFill/>
          </a:ln>
          <a:effectLst/>
        </c:spPr>
      </c:pivotFmt>
      <c:pivotFmt>
        <c:idx val="14"/>
        <c:spPr>
          <a:solidFill>
            <a:schemeClr val="bg2">
              <a:lumMod val="75000"/>
            </a:schemeClr>
          </a:solidFill>
          <a:ln w="19050">
            <a:noFill/>
          </a:ln>
          <a:effectLst/>
        </c:spPr>
      </c:pivotFmt>
    </c:pivotFmts>
    <c:plotArea>
      <c:layout/>
      <c:doughnutChart>
        <c:varyColors val="1"/>
        <c:ser>
          <c:idx val="0"/>
          <c:order val="0"/>
          <c:tx>
            <c:strRef>
              <c:f>'Análise do Zero'!$I$21</c:f>
              <c:strCache>
                <c:ptCount val="1"/>
                <c:pt idx="0">
                  <c:v>Total</c:v>
                </c:pt>
              </c:strCache>
            </c:strRef>
          </c:tx>
          <c:spPr>
            <a:ln>
              <a:noFill/>
            </a:ln>
          </c:spPr>
          <c:dPt>
            <c:idx val="0"/>
            <c:bubble3D val="0"/>
            <c:spPr>
              <a:solidFill>
                <a:schemeClr val="tx2">
                  <a:lumMod val="60000"/>
                  <a:lumOff val="40000"/>
                </a:schemeClr>
              </a:solidFill>
              <a:ln w="19050">
                <a:noFill/>
              </a:ln>
              <a:effectLst/>
            </c:spPr>
            <c:extLst>
              <c:ext xmlns:c16="http://schemas.microsoft.com/office/drawing/2014/chart" uri="{C3380CC4-5D6E-409C-BE32-E72D297353CC}">
                <c16:uniqueId val="{00000001-15B2-41D7-98FB-AA97D403D29F}"/>
              </c:ext>
            </c:extLst>
          </c:dPt>
          <c:dPt>
            <c:idx val="1"/>
            <c:bubble3D val="0"/>
            <c:spPr>
              <a:solidFill>
                <a:srgbClr val="00B050"/>
              </a:solidFill>
              <a:ln w="19050">
                <a:noFill/>
              </a:ln>
              <a:effectLst/>
            </c:spPr>
            <c:extLst>
              <c:ext xmlns:c16="http://schemas.microsoft.com/office/drawing/2014/chart" uri="{C3380CC4-5D6E-409C-BE32-E72D297353CC}">
                <c16:uniqueId val="{00000003-15B2-41D7-98FB-AA97D403D29F}"/>
              </c:ext>
            </c:extLst>
          </c:dPt>
          <c:dPt>
            <c:idx val="2"/>
            <c:bubble3D val="0"/>
            <c:spPr>
              <a:solidFill>
                <a:srgbClr val="FFFF00"/>
              </a:solidFill>
              <a:ln w="19050">
                <a:noFill/>
              </a:ln>
              <a:effectLst/>
            </c:spPr>
            <c:extLst>
              <c:ext xmlns:c16="http://schemas.microsoft.com/office/drawing/2014/chart" uri="{C3380CC4-5D6E-409C-BE32-E72D297353CC}">
                <c16:uniqueId val="{00000005-15B2-41D7-98FB-AA97D403D29F}"/>
              </c:ext>
            </c:extLst>
          </c:dPt>
          <c:dPt>
            <c:idx val="3"/>
            <c:bubble3D val="0"/>
            <c:spPr>
              <a:solidFill>
                <a:schemeClr val="accent2"/>
              </a:solidFill>
              <a:ln w="19050">
                <a:noFill/>
              </a:ln>
              <a:effectLst/>
            </c:spPr>
            <c:extLst>
              <c:ext xmlns:c16="http://schemas.microsoft.com/office/drawing/2014/chart" uri="{C3380CC4-5D6E-409C-BE32-E72D297353CC}">
                <c16:uniqueId val="{00000007-15B2-41D7-98FB-AA97D403D29F}"/>
              </c:ext>
            </c:extLst>
          </c:dPt>
          <c:dPt>
            <c:idx val="4"/>
            <c:bubble3D val="0"/>
            <c:spPr>
              <a:solidFill>
                <a:schemeClr val="bg2">
                  <a:lumMod val="75000"/>
                </a:schemeClr>
              </a:solidFill>
              <a:ln w="19050">
                <a:noFill/>
              </a:ln>
              <a:effectLst/>
            </c:spPr>
            <c:extLst>
              <c:ext xmlns:c16="http://schemas.microsoft.com/office/drawing/2014/chart" uri="{C3380CC4-5D6E-409C-BE32-E72D297353CC}">
                <c16:uniqueId val="{00000009-15B2-41D7-98FB-AA97D403D29F}"/>
              </c:ext>
            </c:extLst>
          </c:dPt>
          <c:dPt>
            <c:idx val="5"/>
            <c:bubble3D val="0"/>
            <c:spPr>
              <a:solidFill>
                <a:schemeClr val="accent6"/>
              </a:solidFill>
              <a:ln w="19050">
                <a:noFill/>
              </a:ln>
              <a:effectLst/>
            </c:spPr>
            <c:extLst>
              <c:ext xmlns:c16="http://schemas.microsoft.com/office/drawing/2014/chart" uri="{C3380CC4-5D6E-409C-BE32-E72D297353CC}">
                <c16:uniqueId val="{0000000B-15B2-41D7-98FB-AA97D403D29F}"/>
              </c:ext>
            </c:extLst>
          </c:dPt>
          <c:cat>
            <c:strRef>
              <c:f>'Análise do Zero'!$H$22:$H$26</c:f>
              <c:strCache>
                <c:ptCount val="5"/>
                <c:pt idx="0">
                  <c:v>Moradia</c:v>
                </c:pt>
                <c:pt idx="1">
                  <c:v>Saúde</c:v>
                </c:pt>
                <c:pt idx="2">
                  <c:v>Subsistência</c:v>
                </c:pt>
                <c:pt idx="3">
                  <c:v>Transporte</c:v>
                </c:pt>
                <c:pt idx="4">
                  <c:v>Vestuário</c:v>
                </c:pt>
              </c:strCache>
            </c:strRef>
          </c:cat>
          <c:val>
            <c:numRef>
              <c:f>'Análise do Zero'!$I$22:$I$26</c:f>
              <c:numCache>
                <c:formatCode>"R$"\ #\ ##0</c:formatCode>
                <c:ptCount val="5"/>
                <c:pt idx="0">
                  <c:v>3890</c:v>
                </c:pt>
                <c:pt idx="1">
                  <c:v>1747</c:v>
                </c:pt>
                <c:pt idx="2">
                  <c:v>1672</c:v>
                </c:pt>
                <c:pt idx="3">
                  <c:v>562</c:v>
                </c:pt>
                <c:pt idx="4">
                  <c:v>198</c:v>
                </c:pt>
              </c:numCache>
            </c:numRef>
          </c:val>
          <c:extLst>
            <c:ext xmlns:c16="http://schemas.microsoft.com/office/drawing/2014/chart" uri="{C3380CC4-5D6E-409C-BE32-E72D297353CC}">
              <c16:uniqueId val="{0000000C-15B2-41D7-98FB-AA97D403D2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bg1">
                  <a:lumMod val="85000"/>
                </a:schemeClr>
              </a:solidFill>
              <a:latin typeface="Montserrat" panose="00000500000000000000" pitchFamily="2" charset="0"/>
              <a:ea typeface="+mn-ea"/>
              <a:cs typeface="+mn-cs"/>
            </a:defRPr>
          </a:pPr>
          <a:endParaRPr lang="pt-A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[10-02 - Dashboard Finanças Pessoais.xlsx]Análise do Zero!t_despesas_ano</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noFill/>
          </a:ln>
          <a:effectLst/>
        </c:spPr>
      </c:pivotFmt>
      <c:pivotFmt>
        <c:idx val="10"/>
        <c:spPr>
          <a:solidFill>
            <a:schemeClr val="tx2">
              <a:lumMod val="60000"/>
              <a:lumOff val="40000"/>
            </a:schemeClr>
          </a:solidFill>
          <a:ln w="19050">
            <a:noFill/>
          </a:ln>
          <a:effectLst/>
        </c:spPr>
      </c:pivotFmt>
      <c:pivotFmt>
        <c:idx val="11"/>
        <c:spPr>
          <a:solidFill>
            <a:srgbClr val="00B050"/>
          </a:solidFill>
          <a:ln w="19050">
            <a:noFill/>
          </a:ln>
          <a:effectLst/>
        </c:spPr>
      </c:pivotFmt>
      <c:pivotFmt>
        <c:idx val="12"/>
        <c:spPr>
          <a:solidFill>
            <a:srgbClr val="FFFF00"/>
          </a:solidFill>
          <a:ln w="19050">
            <a:noFill/>
          </a:ln>
          <a:effectLst/>
        </c:spPr>
      </c:pivotFmt>
      <c:pivotFmt>
        <c:idx val="13"/>
        <c:spPr>
          <a:solidFill>
            <a:schemeClr val="accent2"/>
          </a:solidFill>
          <a:ln w="19050">
            <a:noFill/>
          </a:ln>
          <a:effectLst/>
        </c:spPr>
      </c:pivotFmt>
      <c:pivotFmt>
        <c:idx val="14"/>
        <c:spPr>
          <a:solidFill>
            <a:schemeClr val="bg2">
              <a:lumMod val="75000"/>
            </a:schemeClr>
          </a:solidFill>
          <a:ln w="19050">
            <a:noFill/>
          </a:ln>
          <a:effectLst/>
        </c:spPr>
      </c:pivotFmt>
    </c:pivotFmts>
    <c:plotArea>
      <c:layout>
        <c:manualLayout>
          <c:layoutTarget val="inner"/>
          <c:xMode val="edge"/>
          <c:yMode val="edge"/>
          <c:x val="0"/>
          <c:y val="0.10772110739502044"/>
          <c:w val="0.58470205479452053"/>
          <c:h val="0.71376672240802674"/>
        </c:manualLayout>
      </c:layout>
      <c:doughnutChart>
        <c:varyColors val="1"/>
        <c:ser>
          <c:idx val="0"/>
          <c:order val="0"/>
          <c:tx>
            <c:strRef>
              <c:f>'Análise do Zero'!$L$21</c:f>
              <c:strCache>
                <c:ptCount val="1"/>
                <c:pt idx="0">
                  <c:v>Total</c:v>
                </c:pt>
              </c:strCache>
            </c:strRef>
          </c:tx>
          <c:spPr>
            <a:ln>
              <a:noFill/>
            </a:ln>
          </c:spPr>
          <c:dPt>
            <c:idx val="0"/>
            <c:bubble3D val="0"/>
            <c:spPr>
              <a:solidFill>
                <a:schemeClr val="tx2">
                  <a:lumMod val="60000"/>
                  <a:lumOff val="40000"/>
                </a:schemeClr>
              </a:solidFill>
              <a:ln w="19050">
                <a:noFill/>
              </a:ln>
              <a:effectLst/>
            </c:spPr>
            <c:extLst>
              <c:ext xmlns:c16="http://schemas.microsoft.com/office/drawing/2014/chart" uri="{C3380CC4-5D6E-409C-BE32-E72D297353CC}">
                <c16:uniqueId val="{00000001-D330-4388-AF76-1EDFF6FDBE5F}"/>
              </c:ext>
            </c:extLst>
          </c:dPt>
          <c:dPt>
            <c:idx val="1"/>
            <c:bubble3D val="0"/>
            <c:spPr>
              <a:solidFill>
                <a:srgbClr val="FFFF00"/>
              </a:solidFill>
              <a:ln w="19050">
                <a:noFill/>
              </a:ln>
              <a:effectLst/>
            </c:spPr>
            <c:extLst>
              <c:ext xmlns:c16="http://schemas.microsoft.com/office/drawing/2014/chart" uri="{C3380CC4-5D6E-409C-BE32-E72D297353CC}">
                <c16:uniqueId val="{00000003-D330-4388-AF76-1EDFF6FDBE5F}"/>
              </c:ext>
            </c:extLst>
          </c:dPt>
          <c:dPt>
            <c:idx val="2"/>
            <c:bubble3D val="0"/>
            <c:spPr>
              <a:solidFill>
                <a:srgbClr val="00B050"/>
              </a:solidFill>
              <a:ln w="19050">
                <a:noFill/>
              </a:ln>
              <a:effectLst/>
            </c:spPr>
            <c:extLst>
              <c:ext xmlns:c16="http://schemas.microsoft.com/office/drawing/2014/chart" uri="{C3380CC4-5D6E-409C-BE32-E72D297353CC}">
                <c16:uniqueId val="{00000005-D330-4388-AF76-1EDFF6FDBE5F}"/>
              </c:ext>
            </c:extLst>
          </c:dPt>
          <c:dPt>
            <c:idx val="3"/>
            <c:bubble3D val="0"/>
            <c:spPr>
              <a:solidFill>
                <a:schemeClr val="accent2"/>
              </a:solidFill>
              <a:ln w="19050">
                <a:noFill/>
              </a:ln>
              <a:effectLst/>
            </c:spPr>
            <c:extLst>
              <c:ext xmlns:c16="http://schemas.microsoft.com/office/drawing/2014/chart" uri="{C3380CC4-5D6E-409C-BE32-E72D297353CC}">
                <c16:uniqueId val="{00000007-D330-4388-AF76-1EDFF6FDBE5F}"/>
              </c:ext>
            </c:extLst>
          </c:dPt>
          <c:dPt>
            <c:idx val="4"/>
            <c:bubble3D val="0"/>
            <c:spPr>
              <a:solidFill>
                <a:schemeClr val="bg2">
                  <a:lumMod val="75000"/>
                </a:schemeClr>
              </a:solidFill>
              <a:ln w="19050">
                <a:noFill/>
              </a:ln>
              <a:effectLst/>
            </c:spPr>
            <c:extLst>
              <c:ext xmlns:c16="http://schemas.microsoft.com/office/drawing/2014/chart" uri="{C3380CC4-5D6E-409C-BE32-E72D297353CC}">
                <c16:uniqueId val="{00000009-D330-4388-AF76-1EDFF6FDBE5F}"/>
              </c:ext>
            </c:extLst>
          </c:dPt>
          <c:dPt>
            <c:idx val="5"/>
            <c:bubble3D val="0"/>
            <c:spPr>
              <a:solidFill>
                <a:schemeClr val="accent6">
                  <a:lumMod val="75000"/>
                </a:schemeClr>
              </a:solidFill>
              <a:ln w="19050">
                <a:noFill/>
              </a:ln>
              <a:effectLst/>
            </c:spPr>
            <c:extLst>
              <c:ext xmlns:c16="http://schemas.microsoft.com/office/drawing/2014/chart" uri="{C3380CC4-5D6E-409C-BE32-E72D297353CC}">
                <c16:uniqueId val="{0000000B-D330-4388-AF76-1EDFF6FDBE5F}"/>
              </c:ext>
            </c:extLst>
          </c:dPt>
          <c:cat>
            <c:strRef>
              <c:f>'Análise do Zero'!$K$22:$K$27</c:f>
              <c:strCache>
                <c:ptCount val="6"/>
                <c:pt idx="0">
                  <c:v>Moradia</c:v>
                </c:pt>
                <c:pt idx="1">
                  <c:v>Subsistência</c:v>
                </c:pt>
                <c:pt idx="2">
                  <c:v>Saúde</c:v>
                </c:pt>
                <c:pt idx="3">
                  <c:v>Transporte</c:v>
                </c:pt>
                <c:pt idx="4">
                  <c:v>Vestuário</c:v>
                </c:pt>
                <c:pt idx="5">
                  <c:v>Lazer</c:v>
                </c:pt>
              </c:strCache>
            </c:strRef>
          </c:cat>
          <c:val>
            <c:numRef>
              <c:f>'Análise do Zero'!$L$22:$L$27</c:f>
              <c:numCache>
                <c:formatCode>"R$"\ #\ ##0</c:formatCode>
                <c:ptCount val="6"/>
                <c:pt idx="0">
                  <c:v>50173</c:v>
                </c:pt>
                <c:pt idx="1">
                  <c:v>18352</c:v>
                </c:pt>
                <c:pt idx="2">
                  <c:v>14057</c:v>
                </c:pt>
                <c:pt idx="3">
                  <c:v>11570</c:v>
                </c:pt>
                <c:pt idx="4">
                  <c:v>5861</c:v>
                </c:pt>
                <c:pt idx="5">
                  <c:v>2987</c:v>
                </c:pt>
              </c:numCache>
            </c:numRef>
          </c:val>
          <c:extLst>
            <c:ext xmlns:c16="http://schemas.microsoft.com/office/drawing/2014/chart" uri="{C3380CC4-5D6E-409C-BE32-E72D297353CC}">
              <c16:uniqueId val="{0000000C-D330-4388-AF76-1EDFF6FDBE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bg1">
                  <a:lumMod val="85000"/>
                </a:schemeClr>
              </a:solidFill>
              <a:latin typeface="Montserrat" panose="00000500000000000000" pitchFamily="2" charset="0"/>
              <a:ea typeface="+mn-ea"/>
              <a:cs typeface="+mn-cs"/>
            </a:defRPr>
          </a:pPr>
          <a:endParaRPr lang="pt-A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[10-02 - Dashboard Finanças Pessoais.xlsx]Análise do Zero!t_mes_despesa</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CA4CCC"/>
              </a:gs>
              <a:gs pos="81000">
                <a:srgbClr val="CA4CCC">
                  <a:alpha val="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A4C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716010316926892E-2"/>
          <c:y val="2.3385782879453763E-3"/>
          <c:w val="0.93518382974441994"/>
          <c:h val="0.96493945153707372"/>
        </c:manualLayout>
      </c:layout>
      <c:areaChart>
        <c:grouping val="standard"/>
        <c:varyColors val="0"/>
        <c:ser>
          <c:idx val="0"/>
          <c:order val="0"/>
          <c:tx>
            <c:strRef>
              <c:f>'Análise do Zero'!$P$8</c:f>
              <c:strCache>
                <c:ptCount val="1"/>
                <c:pt idx="0">
                  <c:v>Sum of Valor</c:v>
                </c:pt>
              </c:strCache>
            </c:strRef>
          </c:tx>
          <c:spPr>
            <a:gradFill>
              <a:gsLst>
                <a:gs pos="0">
                  <a:srgbClr val="CA4CCC"/>
                </a:gs>
                <a:gs pos="81000">
                  <a:srgbClr val="CA4CCC">
                    <a:alpha val="0"/>
                  </a:srgbClr>
                </a:gs>
              </a:gsLst>
              <a:lin ang="5400000" scaled="1"/>
            </a:gradFill>
            <a:ln>
              <a:noFill/>
            </a:ln>
            <a:effectLst/>
          </c:spPr>
          <c:cat>
            <c:strRef>
              <c:f>'Análise do Zero'!$O$9:$O$20</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'Análise do Zero'!$P$9:$P$20</c:f>
              <c:numCache>
                <c:formatCode>"R$"\ #\ ##0</c:formatCode>
                <c:ptCount val="12"/>
                <c:pt idx="0">
                  <c:v>11120</c:v>
                </c:pt>
                <c:pt idx="1">
                  <c:v>8065</c:v>
                </c:pt>
                <c:pt idx="2">
                  <c:v>10457</c:v>
                </c:pt>
                <c:pt idx="3">
                  <c:v>8069</c:v>
                </c:pt>
                <c:pt idx="4">
                  <c:v>7650</c:v>
                </c:pt>
                <c:pt idx="5">
                  <c:v>7761</c:v>
                </c:pt>
                <c:pt idx="6">
                  <c:v>7650</c:v>
                </c:pt>
                <c:pt idx="7">
                  <c:v>9616</c:v>
                </c:pt>
                <c:pt idx="8">
                  <c:v>10146</c:v>
                </c:pt>
                <c:pt idx="9">
                  <c:v>7332</c:v>
                </c:pt>
                <c:pt idx="10">
                  <c:v>6734</c:v>
                </c:pt>
                <c:pt idx="11">
                  <c:v>8400</c:v>
                </c:pt>
              </c:numCache>
            </c:numRef>
          </c:val>
          <c:extLst>
            <c:ext xmlns:c16="http://schemas.microsoft.com/office/drawing/2014/chart" uri="{C3380CC4-5D6E-409C-BE32-E72D297353CC}">
              <c16:uniqueId val="{00000000-F432-49C0-B08B-459C933F4AEB}"/>
            </c:ext>
          </c:extLst>
        </c:ser>
        <c:dLbls>
          <c:showLegendKey val="0"/>
          <c:showVal val="0"/>
          <c:showCatName val="0"/>
          <c:showSerName val="0"/>
          <c:showPercent val="0"/>
          <c:showBubbleSize val="0"/>
        </c:dLbls>
        <c:axId val="228587071"/>
        <c:axId val="228587551"/>
      </c:areaChart>
      <c:lineChart>
        <c:grouping val="standard"/>
        <c:varyColors val="0"/>
        <c:ser>
          <c:idx val="1"/>
          <c:order val="1"/>
          <c:tx>
            <c:strRef>
              <c:f>'Análise do Zero'!$Q$8</c:f>
              <c:strCache>
                <c:ptCount val="1"/>
                <c:pt idx="0">
                  <c:v>Sum of Valor2</c:v>
                </c:pt>
              </c:strCache>
            </c:strRef>
          </c:tx>
          <c:spPr>
            <a:ln w="28575" cap="rnd">
              <a:solidFill>
                <a:srgbClr val="CA4CCC"/>
              </a:solidFill>
              <a:round/>
            </a:ln>
            <a:effectLst/>
          </c:spPr>
          <c:marker>
            <c:symbol val="none"/>
          </c:marker>
          <c:cat>
            <c:strRef>
              <c:f>'Análise do Zero'!$O$9:$O$20</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'Análise do Zero'!$Q$9:$Q$20</c:f>
              <c:numCache>
                <c:formatCode>"R$"\ #\ ##0</c:formatCode>
                <c:ptCount val="12"/>
                <c:pt idx="0">
                  <c:v>11120</c:v>
                </c:pt>
                <c:pt idx="1">
                  <c:v>8065</c:v>
                </c:pt>
                <c:pt idx="2">
                  <c:v>10457</c:v>
                </c:pt>
                <c:pt idx="3">
                  <c:v>8069</c:v>
                </c:pt>
                <c:pt idx="4">
                  <c:v>7650</c:v>
                </c:pt>
                <c:pt idx="5">
                  <c:v>7761</c:v>
                </c:pt>
                <c:pt idx="6">
                  <c:v>7650</c:v>
                </c:pt>
                <c:pt idx="7">
                  <c:v>9616</c:v>
                </c:pt>
                <c:pt idx="8">
                  <c:v>10146</c:v>
                </c:pt>
                <c:pt idx="9">
                  <c:v>7332</c:v>
                </c:pt>
                <c:pt idx="10">
                  <c:v>6734</c:v>
                </c:pt>
                <c:pt idx="11">
                  <c:v>8400</c:v>
                </c:pt>
              </c:numCache>
            </c:numRef>
          </c:val>
          <c:smooth val="0"/>
          <c:extLst>
            <c:ext xmlns:c16="http://schemas.microsoft.com/office/drawing/2014/chart" uri="{C3380CC4-5D6E-409C-BE32-E72D297353CC}">
              <c16:uniqueId val="{00000000-AFE7-40A1-BEBA-8ADF850D72C1}"/>
            </c:ext>
          </c:extLst>
        </c:ser>
        <c:dLbls>
          <c:showLegendKey val="0"/>
          <c:showVal val="0"/>
          <c:showCatName val="0"/>
          <c:showSerName val="0"/>
          <c:showPercent val="0"/>
          <c:showBubbleSize val="0"/>
        </c:dLbls>
        <c:marker val="1"/>
        <c:smooth val="0"/>
        <c:axId val="228587071"/>
        <c:axId val="228587551"/>
      </c:lineChart>
      <c:catAx>
        <c:axId val="228587071"/>
        <c:scaling>
          <c:orientation val="minMax"/>
        </c:scaling>
        <c:delete val="1"/>
        <c:axPos val="b"/>
        <c:numFmt formatCode="General" sourceLinked="1"/>
        <c:majorTickMark val="none"/>
        <c:minorTickMark val="none"/>
        <c:tickLblPos val="nextTo"/>
        <c:crossAx val="228587551"/>
        <c:crosses val="autoZero"/>
        <c:auto val="1"/>
        <c:lblAlgn val="ctr"/>
        <c:lblOffset val="100"/>
        <c:noMultiLvlLbl val="0"/>
      </c:catAx>
      <c:valAx>
        <c:axId val="228587551"/>
        <c:scaling>
          <c:orientation val="minMax"/>
        </c:scaling>
        <c:delete val="1"/>
        <c:axPos val="l"/>
        <c:numFmt formatCode="&quot;R$&quot;\ #\ ##0" sourceLinked="1"/>
        <c:majorTickMark val="none"/>
        <c:minorTickMark val="none"/>
        <c:tickLblPos val="nextTo"/>
        <c:crossAx val="22858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[10-02 - Dashboard Finanças Pessoais.xlsx]Análise do Zero!t_mes_saldo</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1000">
                <a:srgbClr val="6A6CFB">
                  <a:alpha val="0"/>
                </a:srgbClr>
              </a:gs>
              <a:gs pos="0">
                <a:srgbClr val="6A6CF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6A6CF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A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9466390283359E-2"/>
          <c:y val="0.19283301654609428"/>
          <c:w val="0.90850533609716622"/>
          <c:h val="0.78963670922244267"/>
        </c:manualLayout>
      </c:layout>
      <c:areaChart>
        <c:grouping val="standard"/>
        <c:varyColors val="0"/>
        <c:ser>
          <c:idx val="0"/>
          <c:order val="0"/>
          <c:tx>
            <c:strRef>
              <c:f>'Análise do Zero'!$V$8</c:f>
              <c:strCache>
                <c:ptCount val="1"/>
                <c:pt idx="0">
                  <c:v>Sum of Saldo</c:v>
                </c:pt>
              </c:strCache>
            </c:strRef>
          </c:tx>
          <c:spPr>
            <a:gradFill>
              <a:gsLst>
                <a:gs pos="81000">
                  <a:srgbClr val="6A6CFB">
                    <a:alpha val="0"/>
                  </a:srgbClr>
                </a:gs>
                <a:gs pos="0">
                  <a:srgbClr val="6A6CFB"/>
                </a:gs>
              </a:gsLst>
              <a:lin ang="5400000" scaled="1"/>
            </a:gradFill>
            <a:ln>
              <a:noFill/>
            </a:ln>
            <a:effectLst/>
          </c:spPr>
          <c:cat>
            <c:strRef>
              <c:f>'Análise do Zero'!$U$9:$U$20</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'Análise do Zero'!$V$9:$V$20</c:f>
              <c:numCache>
                <c:formatCode>"R$"\ #\ ##0</c:formatCode>
                <c:ptCount val="12"/>
                <c:pt idx="0">
                  <c:v>7084</c:v>
                </c:pt>
                <c:pt idx="1">
                  <c:v>5996</c:v>
                </c:pt>
                <c:pt idx="2">
                  <c:v>7271</c:v>
                </c:pt>
                <c:pt idx="3">
                  <c:v>5943</c:v>
                </c:pt>
                <c:pt idx="4">
                  <c:v>8532</c:v>
                </c:pt>
                <c:pt idx="5">
                  <c:v>10342</c:v>
                </c:pt>
                <c:pt idx="6">
                  <c:v>11667</c:v>
                </c:pt>
                <c:pt idx="7">
                  <c:v>14047</c:v>
                </c:pt>
                <c:pt idx="8">
                  <c:v>13667</c:v>
                </c:pt>
                <c:pt idx="9">
                  <c:v>12140</c:v>
                </c:pt>
                <c:pt idx="10">
                  <c:v>14449</c:v>
                </c:pt>
                <c:pt idx="11">
                  <c:v>16851</c:v>
                </c:pt>
              </c:numCache>
            </c:numRef>
          </c:val>
          <c:extLst>
            <c:ext xmlns:c16="http://schemas.microsoft.com/office/drawing/2014/chart" uri="{C3380CC4-5D6E-409C-BE32-E72D297353CC}">
              <c16:uniqueId val="{00000000-8540-4A76-B364-A80F6190976B}"/>
            </c:ext>
          </c:extLst>
        </c:ser>
        <c:dLbls>
          <c:showLegendKey val="0"/>
          <c:showVal val="0"/>
          <c:showCatName val="0"/>
          <c:showSerName val="0"/>
          <c:showPercent val="0"/>
          <c:showBubbleSize val="0"/>
        </c:dLbls>
        <c:axId val="2089902031"/>
        <c:axId val="2089897711"/>
      </c:areaChart>
      <c:lineChart>
        <c:grouping val="standard"/>
        <c:varyColors val="0"/>
        <c:ser>
          <c:idx val="1"/>
          <c:order val="1"/>
          <c:tx>
            <c:strRef>
              <c:f>'Análise do Zero'!$W$8</c:f>
              <c:strCache>
                <c:ptCount val="1"/>
                <c:pt idx="0">
                  <c:v>Sum of Saldo2</c:v>
                </c:pt>
              </c:strCache>
            </c:strRef>
          </c:tx>
          <c:spPr>
            <a:ln w="28575" cap="rnd">
              <a:solidFill>
                <a:srgbClr val="6A6CFB"/>
              </a:solidFill>
              <a:round/>
            </a:ln>
            <a:effectLst/>
          </c:spPr>
          <c:marker>
            <c:symbol val="none"/>
          </c:marker>
          <c:cat>
            <c:strRef>
              <c:f>'Análise do Zero'!$U$9:$U$20</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'Análise do Zero'!$W$9:$W$20</c:f>
              <c:numCache>
                <c:formatCode>"R$"\ #\ ##0</c:formatCode>
                <c:ptCount val="12"/>
                <c:pt idx="0">
                  <c:v>7084</c:v>
                </c:pt>
                <c:pt idx="1">
                  <c:v>5996</c:v>
                </c:pt>
                <c:pt idx="2">
                  <c:v>7271</c:v>
                </c:pt>
                <c:pt idx="3">
                  <c:v>5943</c:v>
                </c:pt>
                <c:pt idx="4">
                  <c:v>8532</c:v>
                </c:pt>
                <c:pt idx="5">
                  <c:v>10342</c:v>
                </c:pt>
                <c:pt idx="6">
                  <c:v>11667</c:v>
                </c:pt>
                <c:pt idx="7">
                  <c:v>14047</c:v>
                </c:pt>
                <c:pt idx="8">
                  <c:v>13667</c:v>
                </c:pt>
                <c:pt idx="9">
                  <c:v>12140</c:v>
                </c:pt>
                <c:pt idx="10">
                  <c:v>14449</c:v>
                </c:pt>
                <c:pt idx="11">
                  <c:v>16851</c:v>
                </c:pt>
              </c:numCache>
            </c:numRef>
          </c:val>
          <c:smooth val="0"/>
          <c:extLst>
            <c:ext xmlns:c16="http://schemas.microsoft.com/office/drawing/2014/chart" uri="{C3380CC4-5D6E-409C-BE32-E72D297353CC}">
              <c16:uniqueId val="{00000000-EBD1-4C34-B709-0DF4E43ABD95}"/>
            </c:ext>
          </c:extLst>
        </c:ser>
        <c:dLbls>
          <c:showLegendKey val="0"/>
          <c:showVal val="0"/>
          <c:showCatName val="0"/>
          <c:showSerName val="0"/>
          <c:showPercent val="0"/>
          <c:showBubbleSize val="0"/>
        </c:dLbls>
        <c:marker val="1"/>
        <c:smooth val="0"/>
        <c:axId val="2089902031"/>
        <c:axId val="2089897711"/>
      </c:lineChart>
      <c:catAx>
        <c:axId val="2089902031"/>
        <c:scaling>
          <c:orientation val="minMax"/>
        </c:scaling>
        <c:delete val="1"/>
        <c:axPos val="b"/>
        <c:numFmt formatCode="General" sourceLinked="1"/>
        <c:majorTickMark val="none"/>
        <c:minorTickMark val="none"/>
        <c:tickLblPos val="nextTo"/>
        <c:crossAx val="2089897711"/>
        <c:crosses val="autoZero"/>
        <c:auto val="1"/>
        <c:lblAlgn val="ctr"/>
        <c:lblOffset val="100"/>
        <c:noMultiLvlLbl val="0"/>
      </c:catAx>
      <c:valAx>
        <c:axId val="2089897711"/>
        <c:scaling>
          <c:orientation val="minMax"/>
        </c:scaling>
        <c:delete val="1"/>
        <c:axPos val="l"/>
        <c:numFmt formatCode="&quot;R$&quot;\ #\ ##0" sourceLinked="1"/>
        <c:majorTickMark val="none"/>
        <c:minorTickMark val="none"/>
        <c:tickLblPos val="nextTo"/>
        <c:crossAx val="20899020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4488636363636362"/>
          <c:w val="1"/>
          <c:h val="0.71022727272727271"/>
        </c:manualLayout>
      </c:layout>
      <c:doughnutChart>
        <c:varyColors val="1"/>
        <c:ser>
          <c:idx val="0"/>
          <c:order val="0"/>
          <c:dPt>
            <c:idx val="0"/>
            <c:bubble3D val="0"/>
            <c:spPr>
              <a:solidFill>
                <a:schemeClr val="accent2"/>
              </a:solidFill>
              <a:ln w="19050">
                <a:noFill/>
              </a:ln>
              <a:effectLst/>
            </c:spPr>
            <c:extLst>
              <c:ext xmlns:c16="http://schemas.microsoft.com/office/drawing/2014/chart" uri="{C3380CC4-5D6E-409C-BE32-E72D297353CC}">
                <c16:uniqueId val="{00000001-1AE0-40A1-988B-55C4E8C0E8F6}"/>
              </c:ext>
            </c:extLst>
          </c:dPt>
          <c:dPt>
            <c:idx val="1"/>
            <c:bubble3D val="0"/>
            <c:spPr>
              <a:solidFill>
                <a:srgbClr val="121617"/>
              </a:solidFill>
              <a:ln w="19050">
                <a:noFill/>
              </a:ln>
              <a:effectLst/>
            </c:spPr>
            <c:extLst>
              <c:ext xmlns:c16="http://schemas.microsoft.com/office/drawing/2014/chart" uri="{C3380CC4-5D6E-409C-BE32-E72D297353CC}">
                <c16:uniqueId val="{00000003-1AE0-40A1-988B-55C4E8C0E8F6}"/>
              </c:ext>
            </c:extLst>
          </c:dPt>
          <c:val>
            <c:numRef>
              <c:f>'Análise do Zero'!$L$35:$M$35</c:f>
              <c:numCache>
                <c:formatCode>General</c:formatCode>
                <c:ptCount val="2"/>
                <c:pt idx="0">
                  <c:v>5</c:v>
                </c:pt>
                <c:pt idx="1">
                  <c:v>95</c:v>
                </c:pt>
              </c:numCache>
            </c:numRef>
          </c:val>
          <c:extLst>
            <c:ext xmlns:c16="http://schemas.microsoft.com/office/drawing/2014/chart" uri="{C3380CC4-5D6E-409C-BE32-E72D297353CC}">
              <c16:uniqueId val="{00000004-1AE0-40A1-988B-55C4E8C0E8F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5490845959595959"/>
          <c:w val="0.98588888888888904"/>
          <c:h val="0.70020517676767691"/>
        </c:manualLayout>
      </c:layout>
      <c:doughnutChart>
        <c:varyColors val="1"/>
        <c:ser>
          <c:idx val="0"/>
          <c:order val="0"/>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FA40-4189-BDA6-7CD68EDB02D0}"/>
              </c:ext>
            </c:extLst>
          </c:dPt>
          <c:dPt>
            <c:idx val="1"/>
            <c:bubble3D val="0"/>
            <c:spPr>
              <a:solidFill>
                <a:srgbClr val="121617"/>
              </a:solidFill>
              <a:ln w="19050">
                <a:noFill/>
              </a:ln>
              <a:effectLst/>
            </c:spPr>
            <c:extLst>
              <c:ext xmlns:c16="http://schemas.microsoft.com/office/drawing/2014/chart" uri="{C3380CC4-5D6E-409C-BE32-E72D297353CC}">
                <c16:uniqueId val="{00000003-FA40-4189-BDA6-7CD68EDB02D0}"/>
              </c:ext>
            </c:extLst>
          </c:dPt>
          <c:val>
            <c:numRef>
              <c:f>'Análise do Zero'!$L$36:$M$36</c:f>
              <c:numCache>
                <c:formatCode>General</c:formatCode>
                <c:ptCount val="2"/>
                <c:pt idx="0">
                  <c:v>3</c:v>
                </c:pt>
                <c:pt idx="1">
                  <c:v>97</c:v>
                </c:pt>
              </c:numCache>
            </c:numRef>
          </c:val>
          <c:extLst>
            <c:ext xmlns:c16="http://schemas.microsoft.com/office/drawing/2014/chart" uri="{C3380CC4-5D6E-409C-BE32-E72D297353CC}">
              <c16:uniqueId val="{00000004-FA40-4189-BDA6-7CD68EDB02D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4488636363636362"/>
          <c:w val="1"/>
          <c:h val="0.71022727272727271"/>
        </c:manualLayout>
      </c:layout>
      <c:doughnutChart>
        <c:varyColors val="1"/>
        <c:ser>
          <c:idx val="0"/>
          <c:order val="0"/>
          <c:dPt>
            <c:idx val="0"/>
            <c:bubble3D val="0"/>
            <c:spPr>
              <a:solidFill>
                <a:srgbClr val="FFFF00"/>
              </a:solidFill>
              <a:ln w="19050">
                <a:noFill/>
              </a:ln>
              <a:effectLst/>
            </c:spPr>
            <c:extLst>
              <c:ext xmlns:c16="http://schemas.microsoft.com/office/drawing/2014/chart" uri="{C3380CC4-5D6E-409C-BE32-E72D297353CC}">
                <c16:uniqueId val="{00000001-9865-414B-A95C-E57EAA04FA5C}"/>
              </c:ext>
            </c:extLst>
          </c:dPt>
          <c:dPt>
            <c:idx val="1"/>
            <c:bubble3D val="0"/>
            <c:spPr>
              <a:solidFill>
                <a:srgbClr val="121617"/>
              </a:solidFill>
              <a:ln w="19050">
                <a:noFill/>
              </a:ln>
              <a:effectLst/>
            </c:spPr>
            <c:extLst>
              <c:ext xmlns:c16="http://schemas.microsoft.com/office/drawing/2014/chart" uri="{C3380CC4-5D6E-409C-BE32-E72D297353CC}">
                <c16:uniqueId val="{00000003-9865-414B-A95C-E57EAA04FA5C}"/>
              </c:ext>
            </c:extLst>
          </c:dPt>
          <c:val>
            <c:numRef>
              <c:f>'Análise do Zero'!$L$34:$M$34</c:f>
              <c:numCache>
                <c:formatCode>General</c:formatCode>
                <c:ptCount val="2"/>
                <c:pt idx="0">
                  <c:v>9</c:v>
                </c:pt>
                <c:pt idx="1">
                  <c:v>91</c:v>
                </c:pt>
              </c:numCache>
            </c:numRef>
          </c:val>
          <c:extLst>
            <c:ext xmlns:c16="http://schemas.microsoft.com/office/drawing/2014/chart" uri="{C3380CC4-5D6E-409C-BE32-E72D297353CC}">
              <c16:uniqueId val="{00000004-9865-414B-A95C-E57EAA04FA5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111111111111111E-2"/>
          <c:y val="0.14488636363636362"/>
          <c:w val="0.98588888888888893"/>
          <c:h val="0.70020517676767691"/>
        </c:manualLayout>
      </c:layout>
      <c:doughnutChart>
        <c:varyColors val="1"/>
        <c:ser>
          <c:idx val="0"/>
          <c:order val="0"/>
          <c:dPt>
            <c:idx val="0"/>
            <c:bubble3D val="0"/>
            <c:spPr>
              <a:solidFill>
                <a:schemeClr val="accent1"/>
              </a:solidFill>
              <a:ln w="19050">
                <a:noFill/>
              </a:ln>
              <a:effectLst/>
            </c:spPr>
            <c:extLst>
              <c:ext xmlns:c16="http://schemas.microsoft.com/office/drawing/2014/chart" uri="{C3380CC4-5D6E-409C-BE32-E72D297353CC}">
                <c16:uniqueId val="{00000001-1D63-4982-8E25-C9698C6C6657}"/>
              </c:ext>
            </c:extLst>
          </c:dPt>
          <c:dPt>
            <c:idx val="1"/>
            <c:bubble3D val="0"/>
            <c:spPr>
              <a:solidFill>
                <a:srgbClr val="121617"/>
              </a:solidFill>
              <a:ln w="19050">
                <a:noFill/>
              </a:ln>
              <a:effectLst/>
            </c:spPr>
            <c:extLst>
              <c:ext xmlns:c16="http://schemas.microsoft.com/office/drawing/2014/chart" uri="{C3380CC4-5D6E-409C-BE32-E72D297353CC}">
                <c16:uniqueId val="{00000003-1D63-4982-8E25-C9698C6C6657}"/>
              </c:ext>
            </c:extLst>
          </c:dPt>
          <c:val>
            <c:numRef>
              <c:f>'Análise do Zero'!$L$32:$M$32</c:f>
              <c:numCache>
                <c:formatCode>General</c:formatCode>
                <c:ptCount val="2"/>
                <c:pt idx="0">
                  <c:v>8</c:v>
                </c:pt>
                <c:pt idx="1">
                  <c:v>92</c:v>
                </c:pt>
              </c:numCache>
            </c:numRef>
          </c:val>
          <c:extLst>
            <c:ext xmlns:c16="http://schemas.microsoft.com/office/drawing/2014/chart" uri="{C3380CC4-5D6E-409C-BE32-E72D297353CC}">
              <c16:uniqueId val="{00000004-1D63-4982-8E25-C9698C6C665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4488636363636362"/>
          <c:w val="1"/>
          <c:h val="0.71022727272727271"/>
        </c:manualLayout>
      </c:layout>
      <c:doughnutChart>
        <c:varyColors val="1"/>
        <c:ser>
          <c:idx val="0"/>
          <c:order val="0"/>
          <c:dPt>
            <c:idx val="0"/>
            <c:bubble3D val="0"/>
            <c:spPr>
              <a:solidFill>
                <a:srgbClr val="00B050"/>
              </a:solidFill>
              <a:ln w="19050">
                <a:noFill/>
              </a:ln>
              <a:effectLst/>
            </c:spPr>
            <c:extLst>
              <c:ext xmlns:c16="http://schemas.microsoft.com/office/drawing/2014/chart" uri="{C3380CC4-5D6E-409C-BE32-E72D297353CC}">
                <c16:uniqueId val="{00000001-049D-4E07-B9B7-55E6703356D0}"/>
              </c:ext>
            </c:extLst>
          </c:dPt>
          <c:dPt>
            <c:idx val="1"/>
            <c:bubble3D val="0"/>
            <c:spPr>
              <a:solidFill>
                <a:srgbClr val="121617"/>
              </a:solidFill>
              <a:ln w="19050">
                <a:noFill/>
              </a:ln>
              <a:effectLst/>
            </c:spPr>
            <c:extLst>
              <c:ext xmlns:c16="http://schemas.microsoft.com/office/drawing/2014/chart" uri="{C3380CC4-5D6E-409C-BE32-E72D297353CC}">
                <c16:uniqueId val="{00000003-049D-4E07-B9B7-55E6703356D0}"/>
              </c:ext>
            </c:extLst>
          </c:dPt>
          <c:val>
            <c:numRef>
              <c:f>'Análise do Zero'!$L$33:$M$33</c:f>
              <c:numCache>
                <c:formatCode>General</c:formatCode>
                <c:ptCount val="2"/>
                <c:pt idx="0">
                  <c:v>12</c:v>
                </c:pt>
                <c:pt idx="1">
                  <c:v>88</c:v>
                </c:pt>
              </c:numCache>
            </c:numRef>
          </c:val>
          <c:extLst>
            <c:ext xmlns:c16="http://schemas.microsoft.com/office/drawing/2014/chart" uri="{C3380CC4-5D6E-409C-BE32-E72D297353CC}">
              <c16:uniqueId val="{00000004-049D-4E07-B9B7-55E6703356D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4488636363636362"/>
          <c:w val="1"/>
          <c:h val="0.71022727272727271"/>
        </c:manualLayout>
      </c:layout>
      <c:doughnutChart>
        <c:varyColors val="1"/>
        <c:ser>
          <c:idx val="0"/>
          <c:order val="0"/>
          <c:spPr>
            <a:ln>
              <a:noFill/>
            </a:ln>
          </c:spPr>
          <c:dPt>
            <c:idx val="0"/>
            <c:bubble3D val="0"/>
            <c:spPr>
              <a:solidFill>
                <a:schemeClr val="bg2">
                  <a:lumMod val="75000"/>
                </a:schemeClr>
              </a:solidFill>
              <a:ln w="19050">
                <a:noFill/>
              </a:ln>
              <a:effectLst/>
            </c:spPr>
            <c:extLst>
              <c:ext xmlns:c16="http://schemas.microsoft.com/office/drawing/2014/chart" uri="{C3380CC4-5D6E-409C-BE32-E72D297353CC}">
                <c16:uniqueId val="{00000001-6DA1-4DD7-A986-CCB23DE1F94D}"/>
              </c:ext>
            </c:extLst>
          </c:dPt>
          <c:dPt>
            <c:idx val="1"/>
            <c:bubble3D val="0"/>
            <c:spPr>
              <a:solidFill>
                <a:srgbClr val="121617"/>
              </a:solidFill>
              <a:ln w="19050">
                <a:noFill/>
              </a:ln>
              <a:effectLst/>
            </c:spPr>
            <c:extLst>
              <c:ext xmlns:c16="http://schemas.microsoft.com/office/drawing/2014/chart" uri="{C3380CC4-5D6E-409C-BE32-E72D297353CC}">
                <c16:uniqueId val="{00000003-6DA1-4DD7-A986-CCB23DE1F94D}"/>
              </c:ext>
            </c:extLst>
          </c:dPt>
          <c:val>
            <c:numRef>
              <c:f>'Análise do Zero'!$L$31:$M$31</c:f>
              <c:numCache>
                <c:formatCode>General</c:formatCode>
                <c:ptCount val="2"/>
                <c:pt idx="0">
                  <c:v>0</c:v>
                </c:pt>
                <c:pt idx="1">
                  <c:v>100</c:v>
                </c:pt>
              </c:numCache>
            </c:numRef>
          </c:val>
          <c:extLst>
            <c:ext xmlns:c16="http://schemas.microsoft.com/office/drawing/2014/chart" uri="{C3380CC4-5D6E-409C-BE32-E72D297353CC}">
              <c16:uniqueId val="{00000004-6DA1-4DD7-A986-CCB23DE1F94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AO"/>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5" Type="http://schemas.openxmlformats.org/officeDocument/2006/relationships/chart" Target="../charts/chart1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28576</xdr:colOff>
      <xdr:row>0</xdr:row>
      <xdr:rowOff>19050</xdr:rowOff>
    </xdr:from>
    <xdr:to>
      <xdr:col>23</xdr:col>
      <xdr:colOff>557670</xdr:colOff>
      <xdr:row>42</xdr:row>
      <xdr:rowOff>77391</xdr:rowOff>
    </xdr:to>
    <xdr:sp macro="" textlink="">
      <xdr:nvSpPr>
        <xdr:cNvPr id="2" name="Rectangle 1">
          <a:extLst>
            <a:ext uri="{FF2B5EF4-FFF2-40B4-BE49-F238E27FC236}">
              <a16:creationId xmlns:a16="http://schemas.microsoft.com/office/drawing/2014/main" id="{7D99FC1D-8534-C852-213F-466A23C7DDDA}"/>
            </a:ext>
          </a:extLst>
        </xdr:cNvPr>
        <xdr:cNvSpPr/>
      </xdr:nvSpPr>
      <xdr:spPr>
        <a:xfrm>
          <a:off x="28576" y="19050"/>
          <a:ext cx="14626094" cy="8059341"/>
        </a:xfrm>
        <a:prstGeom prst="rect">
          <a:avLst/>
        </a:prstGeom>
        <a:solidFill>
          <a:srgbClr val="12161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PT" sz="1100"/>
            <a:t>  </a:t>
          </a:r>
          <a:endParaRPr lang="pt-AO" sz="1100"/>
        </a:p>
      </xdr:txBody>
    </xdr:sp>
    <xdr:clientData/>
  </xdr:twoCellAnchor>
  <xdr:twoCellAnchor>
    <xdr:from>
      <xdr:col>0</xdr:col>
      <xdr:colOff>28575</xdr:colOff>
      <xdr:row>0</xdr:row>
      <xdr:rowOff>28574</xdr:rowOff>
    </xdr:from>
    <xdr:to>
      <xdr:col>4</xdr:col>
      <xdr:colOff>297304</xdr:colOff>
      <xdr:row>42</xdr:row>
      <xdr:rowOff>66374</xdr:rowOff>
    </xdr:to>
    <xdr:sp macro="" textlink="">
      <xdr:nvSpPr>
        <xdr:cNvPr id="3" name="Rectangle 2">
          <a:extLst>
            <a:ext uri="{FF2B5EF4-FFF2-40B4-BE49-F238E27FC236}">
              <a16:creationId xmlns:a16="http://schemas.microsoft.com/office/drawing/2014/main" id="{4E0A4CC1-D4FB-AE30-19FE-35EC09CAAAB4}"/>
            </a:ext>
          </a:extLst>
        </xdr:cNvPr>
        <xdr:cNvSpPr/>
      </xdr:nvSpPr>
      <xdr:spPr>
        <a:xfrm>
          <a:off x="28575" y="28574"/>
          <a:ext cx="2689200" cy="8038800"/>
        </a:xfrm>
        <a:prstGeom prst="rect">
          <a:avLst/>
        </a:prstGeom>
        <a:solidFill>
          <a:srgbClr val="0D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PT" sz="1100"/>
            <a:t> </a:t>
          </a:r>
          <a:endParaRPr lang="pt-AO" sz="1100"/>
        </a:p>
      </xdr:txBody>
    </xdr:sp>
    <xdr:clientData/>
  </xdr:twoCellAnchor>
  <xdr:twoCellAnchor>
    <xdr:from>
      <xdr:col>4</xdr:col>
      <xdr:colOff>600074</xdr:colOff>
      <xdr:row>2</xdr:row>
      <xdr:rowOff>183219</xdr:rowOff>
    </xdr:from>
    <xdr:to>
      <xdr:col>9</xdr:col>
      <xdr:colOff>202486</xdr:colOff>
      <xdr:row>9</xdr:row>
      <xdr:rowOff>91719</xdr:rowOff>
    </xdr:to>
    <xdr:sp macro="" textlink="">
      <xdr:nvSpPr>
        <xdr:cNvPr id="4" name="Rectangle: Rounded Corners 3">
          <a:extLst>
            <a:ext uri="{FF2B5EF4-FFF2-40B4-BE49-F238E27FC236}">
              <a16:creationId xmlns:a16="http://schemas.microsoft.com/office/drawing/2014/main" id="{73ED58DB-FA59-967B-B9F8-3622954C0235}"/>
            </a:ext>
          </a:extLst>
        </xdr:cNvPr>
        <xdr:cNvSpPr/>
      </xdr:nvSpPr>
      <xdr:spPr>
        <a:xfrm>
          <a:off x="3043729" y="564219"/>
          <a:ext cx="2656981" cy="1242000"/>
        </a:xfrm>
        <a:prstGeom prst="roundRect">
          <a:avLst>
            <a:gd name="adj" fmla="val 10351"/>
          </a:avLst>
        </a:prstGeom>
        <a:solidFill>
          <a:srgbClr val="212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AO" sz="1100"/>
        </a:p>
      </xdr:txBody>
    </xdr:sp>
    <xdr:clientData/>
  </xdr:twoCellAnchor>
  <xdr:twoCellAnchor>
    <xdr:from>
      <xdr:col>9</xdr:col>
      <xdr:colOff>454211</xdr:colOff>
      <xdr:row>2</xdr:row>
      <xdr:rowOff>183219</xdr:rowOff>
    </xdr:from>
    <xdr:to>
      <xdr:col>14</xdr:col>
      <xdr:colOff>56623</xdr:colOff>
      <xdr:row>9</xdr:row>
      <xdr:rowOff>91719</xdr:rowOff>
    </xdr:to>
    <xdr:sp macro="" textlink="">
      <xdr:nvSpPr>
        <xdr:cNvPr id="5" name="Rectangle: Rounded Corners 4">
          <a:extLst>
            <a:ext uri="{FF2B5EF4-FFF2-40B4-BE49-F238E27FC236}">
              <a16:creationId xmlns:a16="http://schemas.microsoft.com/office/drawing/2014/main" id="{0EAD0520-B686-44B8-BAED-EEC718C37942}"/>
            </a:ext>
          </a:extLst>
        </xdr:cNvPr>
        <xdr:cNvSpPr/>
      </xdr:nvSpPr>
      <xdr:spPr>
        <a:xfrm>
          <a:off x="5900270" y="564219"/>
          <a:ext cx="2628000" cy="1242000"/>
        </a:xfrm>
        <a:prstGeom prst="roundRect">
          <a:avLst/>
        </a:prstGeom>
        <a:solidFill>
          <a:srgbClr val="212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PT" sz="1100"/>
            <a:t>  </a:t>
          </a:r>
          <a:endParaRPr lang="pt-AO" sz="1100"/>
        </a:p>
      </xdr:txBody>
    </xdr:sp>
    <xdr:clientData/>
  </xdr:twoCellAnchor>
  <xdr:twoCellAnchor>
    <xdr:from>
      <xdr:col>5</xdr:col>
      <xdr:colOff>7327</xdr:colOff>
      <xdr:row>10</xdr:row>
      <xdr:rowOff>78314</xdr:rowOff>
    </xdr:from>
    <xdr:to>
      <xdr:col>14</xdr:col>
      <xdr:colOff>145989</xdr:colOff>
      <xdr:row>24</xdr:row>
      <xdr:rowOff>89714</xdr:rowOff>
    </xdr:to>
    <xdr:sp macro="" textlink="">
      <xdr:nvSpPr>
        <xdr:cNvPr id="6" name="Rectangle: Rounded Corners 5">
          <a:extLst>
            <a:ext uri="{FF2B5EF4-FFF2-40B4-BE49-F238E27FC236}">
              <a16:creationId xmlns:a16="http://schemas.microsoft.com/office/drawing/2014/main" id="{F0876104-5E14-4E41-8BC7-18FA87520B1E}"/>
            </a:ext>
          </a:extLst>
        </xdr:cNvPr>
        <xdr:cNvSpPr/>
      </xdr:nvSpPr>
      <xdr:spPr>
        <a:xfrm>
          <a:off x="3032915" y="1983314"/>
          <a:ext cx="5584721" cy="2678400"/>
        </a:xfrm>
        <a:prstGeom prst="roundRect">
          <a:avLst>
            <a:gd name="adj" fmla="val 7044"/>
          </a:avLst>
        </a:prstGeom>
        <a:solidFill>
          <a:srgbClr val="212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AO" sz="1100"/>
        </a:p>
      </xdr:txBody>
    </xdr:sp>
    <xdr:clientData/>
  </xdr:twoCellAnchor>
  <xdr:twoCellAnchor>
    <xdr:from>
      <xdr:col>14</xdr:col>
      <xdr:colOff>308348</xdr:colOff>
      <xdr:row>2</xdr:row>
      <xdr:rowOff>183219</xdr:rowOff>
    </xdr:from>
    <xdr:to>
      <xdr:col>18</xdr:col>
      <xdr:colOff>515877</xdr:colOff>
      <xdr:row>14</xdr:row>
      <xdr:rowOff>125619</xdr:rowOff>
    </xdr:to>
    <xdr:sp macro="" textlink="">
      <xdr:nvSpPr>
        <xdr:cNvPr id="7" name="Rectangle: Rounded Corners 6">
          <a:extLst>
            <a:ext uri="{FF2B5EF4-FFF2-40B4-BE49-F238E27FC236}">
              <a16:creationId xmlns:a16="http://schemas.microsoft.com/office/drawing/2014/main" id="{48E38995-B2D0-4C49-B5C0-ACF05537B4DE}"/>
            </a:ext>
          </a:extLst>
        </xdr:cNvPr>
        <xdr:cNvSpPr/>
      </xdr:nvSpPr>
      <xdr:spPr>
        <a:xfrm>
          <a:off x="8779995" y="564219"/>
          <a:ext cx="2628000" cy="2228400"/>
        </a:xfrm>
        <a:prstGeom prst="roundRect">
          <a:avLst>
            <a:gd name="adj" fmla="val 5604"/>
          </a:avLst>
        </a:prstGeom>
        <a:solidFill>
          <a:srgbClr val="212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AO" sz="1100"/>
        </a:p>
      </xdr:txBody>
    </xdr:sp>
    <xdr:clientData/>
  </xdr:twoCellAnchor>
  <xdr:twoCellAnchor>
    <xdr:from>
      <xdr:col>19</xdr:col>
      <xdr:colOff>162486</xdr:colOff>
      <xdr:row>2</xdr:row>
      <xdr:rowOff>183219</xdr:rowOff>
    </xdr:from>
    <xdr:to>
      <xdr:col>23</xdr:col>
      <xdr:colOff>370015</xdr:colOff>
      <xdr:row>14</xdr:row>
      <xdr:rowOff>125619</xdr:rowOff>
    </xdr:to>
    <xdr:sp macro="" textlink="">
      <xdr:nvSpPr>
        <xdr:cNvPr id="8" name="Rectangle: Rounded Corners 7">
          <a:extLst>
            <a:ext uri="{FF2B5EF4-FFF2-40B4-BE49-F238E27FC236}">
              <a16:creationId xmlns:a16="http://schemas.microsoft.com/office/drawing/2014/main" id="{7A8C7C12-FEBB-4D4B-A0AB-695A292C4B65}"/>
            </a:ext>
          </a:extLst>
        </xdr:cNvPr>
        <xdr:cNvSpPr/>
      </xdr:nvSpPr>
      <xdr:spPr>
        <a:xfrm>
          <a:off x="11659721" y="564219"/>
          <a:ext cx="2628000" cy="2228400"/>
        </a:xfrm>
        <a:prstGeom prst="roundRect">
          <a:avLst>
            <a:gd name="adj" fmla="val 4598"/>
          </a:avLst>
        </a:prstGeom>
        <a:solidFill>
          <a:srgbClr val="212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AO" sz="1100"/>
        </a:p>
      </xdr:txBody>
    </xdr:sp>
    <xdr:clientData/>
  </xdr:twoCellAnchor>
  <xdr:twoCellAnchor>
    <xdr:from>
      <xdr:col>14</xdr:col>
      <xdr:colOff>373080</xdr:colOff>
      <xdr:row>15</xdr:row>
      <xdr:rowOff>68983</xdr:rowOff>
    </xdr:from>
    <xdr:to>
      <xdr:col>23</xdr:col>
      <xdr:colOff>388221</xdr:colOff>
      <xdr:row>26</xdr:row>
      <xdr:rowOff>50683</xdr:rowOff>
    </xdr:to>
    <xdr:sp macro="" textlink="">
      <xdr:nvSpPr>
        <xdr:cNvPr id="9" name="Rectangle: Rounded Corners 8">
          <a:extLst>
            <a:ext uri="{FF2B5EF4-FFF2-40B4-BE49-F238E27FC236}">
              <a16:creationId xmlns:a16="http://schemas.microsoft.com/office/drawing/2014/main" id="{B1740EA2-2AF3-43BA-B9CD-84CB189B99F1}"/>
            </a:ext>
          </a:extLst>
        </xdr:cNvPr>
        <xdr:cNvSpPr/>
      </xdr:nvSpPr>
      <xdr:spPr>
        <a:xfrm>
          <a:off x="8844727" y="2926483"/>
          <a:ext cx="5461200" cy="2077200"/>
        </a:xfrm>
        <a:prstGeom prst="roundRect">
          <a:avLst>
            <a:gd name="adj" fmla="val 6957"/>
          </a:avLst>
        </a:prstGeom>
        <a:solidFill>
          <a:srgbClr val="212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AO" sz="1100"/>
        </a:p>
      </xdr:txBody>
    </xdr:sp>
    <xdr:clientData/>
  </xdr:twoCellAnchor>
  <xdr:twoCellAnchor>
    <xdr:from>
      <xdr:col>5</xdr:col>
      <xdr:colOff>1767</xdr:colOff>
      <xdr:row>25</xdr:row>
      <xdr:rowOff>114202</xdr:rowOff>
    </xdr:from>
    <xdr:to>
      <xdr:col>14</xdr:col>
      <xdr:colOff>143671</xdr:colOff>
      <xdr:row>39</xdr:row>
      <xdr:rowOff>125602</xdr:rowOff>
    </xdr:to>
    <xdr:sp macro="" textlink="">
      <xdr:nvSpPr>
        <xdr:cNvPr id="10" name="Rectangle: Rounded Corners 9">
          <a:extLst>
            <a:ext uri="{FF2B5EF4-FFF2-40B4-BE49-F238E27FC236}">
              <a16:creationId xmlns:a16="http://schemas.microsoft.com/office/drawing/2014/main" id="{FA65FF1F-BE3D-4DF5-A7DA-9FCA4FE134B8}"/>
            </a:ext>
          </a:extLst>
        </xdr:cNvPr>
        <xdr:cNvSpPr/>
      </xdr:nvSpPr>
      <xdr:spPr>
        <a:xfrm>
          <a:off x="3027355" y="4876702"/>
          <a:ext cx="5587963" cy="2678400"/>
        </a:xfrm>
        <a:prstGeom prst="roundRect">
          <a:avLst>
            <a:gd name="adj" fmla="val 5370"/>
          </a:avLst>
        </a:prstGeom>
        <a:solidFill>
          <a:srgbClr val="212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AO" sz="1100"/>
        </a:p>
      </xdr:txBody>
    </xdr:sp>
    <xdr:clientData/>
  </xdr:twoCellAnchor>
  <xdr:twoCellAnchor>
    <xdr:from>
      <xdr:col>14</xdr:col>
      <xdr:colOff>430864</xdr:colOff>
      <xdr:row>27</xdr:row>
      <xdr:rowOff>104361</xdr:rowOff>
    </xdr:from>
    <xdr:to>
      <xdr:col>23</xdr:col>
      <xdr:colOff>446005</xdr:colOff>
      <xdr:row>39</xdr:row>
      <xdr:rowOff>115161</xdr:rowOff>
    </xdr:to>
    <xdr:sp macro="" textlink="">
      <xdr:nvSpPr>
        <xdr:cNvPr id="11" name="Rectangle: Rounded Corners 10">
          <a:extLst>
            <a:ext uri="{FF2B5EF4-FFF2-40B4-BE49-F238E27FC236}">
              <a16:creationId xmlns:a16="http://schemas.microsoft.com/office/drawing/2014/main" id="{4196EFB0-8217-488F-9365-91C4288D62AB}"/>
            </a:ext>
          </a:extLst>
        </xdr:cNvPr>
        <xdr:cNvSpPr/>
      </xdr:nvSpPr>
      <xdr:spPr>
        <a:xfrm>
          <a:off x="8902511" y="5247861"/>
          <a:ext cx="5461200" cy="2296800"/>
        </a:xfrm>
        <a:prstGeom prst="roundRect">
          <a:avLst>
            <a:gd name="adj" fmla="val 6421"/>
          </a:avLst>
        </a:prstGeom>
        <a:solidFill>
          <a:srgbClr val="2125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AO" sz="1100"/>
        </a:p>
      </xdr:txBody>
    </xdr:sp>
    <xdr:clientData/>
  </xdr:twoCellAnchor>
  <xdr:twoCellAnchor>
    <xdr:from>
      <xdr:col>5</xdr:col>
      <xdr:colOff>123265</xdr:colOff>
      <xdr:row>3</xdr:row>
      <xdr:rowOff>56034</xdr:rowOff>
    </xdr:from>
    <xdr:to>
      <xdr:col>7</xdr:col>
      <xdr:colOff>313765</xdr:colOff>
      <xdr:row>4</xdr:row>
      <xdr:rowOff>123269</xdr:rowOff>
    </xdr:to>
    <xdr:sp macro="" textlink="">
      <xdr:nvSpPr>
        <xdr:cNvPr id="12" name="TextBox 11">
          <a:extLst>
            <a:ext uri="{FF2B5EF4-FFF2-40B4-BE49-F238E27FC236}">
              <a16:creationId xmlns:a16="http://schemas.microsoft.com/office/drawing/2014/main" id="{FDD9A54E-A5A8-43A7-5E3B-A074D7FFD4AA}"/>
            </a:ext>
          </a:extLst>
        </xdr:cNvPr>
        <xdr:cNvSpPr txBox="1"/>
      </xdr:nvSpPr>
      <xdr:spPr>
        <a:xfrm>
          <a:off x="3148853" y="627534"/>
          <a:ext cx="1400736"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400">
              <a:solidFill>
                <a:schemeClr val="bg1">
                  <a:lumMod val="85000"/>
                </a:schemeClr>
              </a:solidFill>
              <a:latin typeface="Montserrat" panose="00000500000000000000" pitchFamily="2" charset="0"/>
            </a:rPr>
            <a:t>Saldo do Mês</a:t>
          </a:r>
          <a:endParaRPr lang="pt-AO" sz="1400">
            <a:solidFill>
              <a:schemeClr val="bg1">
                <a:lumMod val="85000"/>
              </a:schemeClr>
            </a:solidFill>
            <a:latin typeface="Montserrat" panose="00000500000000000000" pitchFamily="2" charset="0"/>
          </a:endParaRPr>
        </a:p>
      </xdr:txBody>
    </xdr:sp>
    <xdr:clientData/>
  </xdr:twoCellAnchor>
  <xdr:twoCellAnchor>
    <xdr:from>
      <xdr:col>9</xdr:col>
      <xdr:colOff>555811</xdr:colOff>
      <xdr:row>3</xdr:row>
      <xdr:rowOff>17934</xdr:rowOff>
    </xdr:from>
    <xdr:to>
      <xdr:col>12</xdr:col>
      <xdr:colOff>560294</xdr:colOff>
      <xdr:row>4</xdr:row>
      <xdr:rowOff>67239</xdr:rowOff>
    </xdr:to>
    <xdr:sp macro="" textlink="">
      <xdr:nvSpPr>
        <xdr:cNvPr id="13" name="TextBox 12">
          <a:extLst>
            <a:ext uri="{FF2B5EF4-FFF2-40B4-BE49-F238E27FC236}">
              <a16:creationId xmlns:a16="http://schemas.microsoft.com/office/drawing/2014/main" id="{5FF26BEF-F333-4FAC-BC09-9B3D2252D121}"/>
            </a:ext>
          </a:extLst>
        </xdr:cNvPr>
        <xdr:cNvSpPr txBox="1"/>
      </xdr:nvSpPr>
      <xdr:spPr>
        <a:xfrm>
          <a:off x="6001870" y="589434"/>
          <a:ext cx="1819836" cy="239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400">
              <a:solidFill>
                <a:schemeClr val="bg1">
                  <a:lumMod val="85000"/>
                </a:schemeClr>
              </a:solidFill>
              <a:latin typeface="Montserrat" panose="00000500000000000000" pitchFamily="2" charset="0"/>
            </a:rPr>
            <a:t>Despesas do Mês</a:t>
          </a:r>
          <a:endParaRPr lang="pt-AO" sz="1400">
            <a:solidFill>
              <a:schemeClr val="bg1">
                <a:lumMod val="85000"/>
              </a:schemeClr>
            </a:solidFill>
            <a:latin typeface="Montserrat" panose="00000500000000000000" pitchFamily="2" charset="0"/>
          </a:endParaRPr>
        </a:p>
      </xdr:txBody>
    </xdr:sp>
    <xdr:clientData/>
  </xdr:twoCellAnchor>
  <xdr:twoCellAnchor>
    <xdr:from>
      <xdr:col>14</xdr:col>
      <xdr:colOff>372036</xdr:colOff>
      <xdr:row>3</xdr:row>
      <xdr:rowOff>58277</xdr:rowOff>
    </xdr:from>
    <xdr:to>
      <xdr:col>17</xdr:col>
      <xdr:colOff>437029</xdr:colOff>
      <xdr:row>4</xdr:row>
      <xdr:rowOff>100857</xdr:rowOff>
    </xdr:to>
    <xdr:sp macro="" textlink="">
      <xdr:nvSpPr>
        <xdr:cNvPr id="14" name="TextBox 13">
          <a:extLst>
            <a:ext uri="{FF2B5EF4-FFF2-40B4-BE49-F238E27FC236}">
              <a16:creationId xmlns:a16="http://schemas.microsoft.com/office/drawing/2014/main" id="{5DCD605E-6B74-4BA1-B1DC-A1863EB40EB2}"/>
            </a:ext>
          </a:extLst>
        </xdr:cNvPr>
        <xdr:cNvSpPr txBox="1"/>
      </xdr:nvSpPr>
      <xdr:spPr>
        <a:xfrm>
          <a:off x="8843683" y="629777"/>
          <a:ext cx="1880346" cy="233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400">
              <a:solidFill>
                <a:schemeClr val="bg1">
                  <a:lumMod val="85000"/>
                </a:schemeClr>
              </a:solidFill>
              <a:latin typeface="Montserrat" panose="00000500000000000000" pitchFamily="2" charset="0"/>
            </a:rPr>
            <a:t>Despesas do Mês</a:t>
          </a:r>
          <a:endParaRPr lang="pt-AO" sz="1400">
            <a:solidFill>
              <a:schemeClr val="bg1">
                <a:lumMod val="85000"/>
              </a:schemeClr>
            </a:solidFill>
            <a:latin typeface="Montserrat" panose="00000500000000000000" pitchFamily="2" charset="0"/>
          </a:endParaRPr>
        </a:p>
      </xdr:txBody>
    </xdr:sp>
    <xdr:clientData/>
  </xdr:twoCellAnchor>
  <xdr:twoCellAnchor>
    <xdr:from>
      <xdr:col>19</xdr:col>
      <xdr:colOff>221877</xdr:colOff>
      <xdr:row>3</xdr:row>
      <xdr:rowOff>42587</xdr:rowOff>
    </xdr:from>
    <xdr:to>
      <xdr:col>22</xdr:col>
      <xdr:colOff>403412</xdr:colOff>
      <xdr:row>4</xdr:row>
      <xdr:rowOff>100856</xdr:rowOff>
    </xdr:to>
    <xdr:sp macro="" textlink="">
      <xdr:nvSpPr>
        <xdr:cNvPr id="15" name="TextBox 14">
          <a:extLst>
            <a:ext uri="{FF2B5EF4-FFF2-40B4-BE49-F238E27FC236}">
              <a16:creationId xmlns:a16="http://schemas.microsoft.com/office/drawing/2014/main" id="{0FF18A8D-8B98-45ED-AD49-004F144ED624}"/>
            </a:ext>
          </a:extLst>
        </xdr:cNvPr>
        <xdr:cNvSpPr txBox="1"/>
      </xdr:nvSpPr>
      <xdr:spPr>
        <a:xfrm>
          <a:off x="11719112" y="614087"/>
          <a:ext cx="1996888" cy="248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400">
              <a:solidFill>
                <a:schemeClr val="bg1">
                  <a:lumMod val="85000"/>
                </a:schemeClr>
              </a:solidFill>
              <a:latin typeface="Montserrat" panose="00000500000000000000" pitchFamily="2" charset="0"/>
            </a:rPr>
            <a:t>Despesas do Ano</a:t>
          </a:r>
          <a:endParaRPr lang="pt-AO" sz="1400">
            <a:solidFill>
              <a:schemeClr val="bg1">
                <a:lumMod val="85000"/>
              </a:schemeClr>
            </a:solidFill>
            <a:latin typeface="Montserrat" panose="00000500000000000000" pitchFamily="2" charset="0"/>
          </a:endParaRPr>
        </a:p>
      </xdr:txBody>
    </xdr:sp>
    <xdr:clientData/>
  </xdr:twoCellAnchor>
  <xdr:twoCellAnchor>
    <xdr:from>
      <xdr:col>5</xdr:col>
      <xdr:colOff>49306</xdr:colOff>
      <xdr:row>10</xdr:row>
      <xdr:rowOff>113616</xdr:rowOff>
    </xdr:from>
    <xdr:to>
      <xdr:col>7</xdr:col>
      <xdr:colOff>549088</xdr:colOff>
      <xdr:row>12</xdr:row>
      <xdr:rowOff>8278</xdr:rowOff>
    </xdr:to>
    <xdr:sp macro="" textlink="">
      <xdr:nvSpPr>
        <xdr:cNvPr id="16" name="TextBox 15">
          <a:extLst>
            <a:ext uri="{FF2B5EF4-FFF2-40B4-BE49-F238E27FC236}">
              <a16:creationId xmlns:a16="http://schemas.microsoft.com/office/drawing/2014/main" id="{E2AA32B6-C2F5-4B0B-B213-7499CA69E8B1}"/>
            </a:ext>
          </a:extLst>
        </xdr:cNvPr>
        <xdr:cNvSpPr txBox="1"/>
      </xdr:nvSpPr>
      <xdr:spPr>
        <a:xfrm>
          <a:off x="3074894" y="2018616"/>
          <a:ext cx="1710018" cy="275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400">
              <a:solidFill>
                <a:schemeClr val="bg1">
                  <a:lumMod val="85000"/>
                </a:schemeClr>
              </a:solidFill>
              <a:latin typeface="Montserrat" panose="00000500000000000000" pitchFamily="2" charset="0"/>
            </a:rPr>
            <a:t>Análise Mensal</a:t>
          </a:r>
          <a:endParaRPr lang="pt-AO" sz="1400">
            <a:solidFill>
              <a:schemeClr val="bg1">
                <a:lumMod val="85000"/>
              </a:schemeClr>
            </a:solidFill>
            <a:latin typeface="Montserrat" panose="00000500000000000000" pitchFamily="2" charset="0"/>
          </a:endParaRPr>
        </a:p>
      </xdr:txBody>
    </xdr:sp>
    <xdr:clientData/>
  </xdr:twoCellAnchor>
  <xdr:twoCellAnchor>
    <xdr:from>
      <xdr:col>14</xdr:col>
      <xdr:colOff>448721</xdr:colOff>
      <xdr:row>15</xdr:row>
      <xdr:rowOff>133982</xdr:rowOff>
    </xdr:from>
    <xdr:to>
      <xdr:col>19</xdr:col>
      <xdr:colOff>123750</xdr:colOff>
      <xdr:row>17</xdr:row>
      <xdr:rowOff>66744</xdr:rowOff>
    </xdr:to>
    <xdr:sp macro="" textlink="">
      <xdr:nvSpPr>
        <xdr:cNvPr id="17" name="TextBox 16">
          <a:extLst>
            <a:ext uri="{FF2B5EF4-FFF2-40B4-BE49-F238E27FC236}">
              <a16:creationId xmlns:a16="http://schemas.microsoft.com/office/drawing/2014/main" id="{62D47D30-4C53-4EA0-91FD-AA68E0587A11}"/>
            </a:ext>
          </a:extLst>
        </xdr:cNvPr>
        <xdr:cNvSpPr txBox="1"/>
      </xdr:nvSpPr>
      <xdr:spPr>
        <a:xfrm>
          <a:off x="8920368" y="2991482"/>
          <a:ext cx="2700617" cy="313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400">
              <a:solidFill>
                <a:schemeClr val="bg1">
                  <a:lumMod val="85000"/>
                </a:schemeClr>
              </a:solidFill>
              <a:latin typeface="Montserrat" panose="00000500000000000000" pitchFamily="2" charset="0"/>
            </a:rPr>
            <a:t>Participação</a:t>
          </a:r>
          <a:r>
            <a:rPr lang="pt-PT" sz="1400" baseline="0">
              <a:solidFill>
                <a:schemeClr val="bg1">
                  <a:lumMod val="85000"/>
                </a:schemeClr>
              </a:solidFill>
              <a:latin typeface="Montserrat" panose="00000500000000000000" pitchFamily="2" charset="0"/>
            </a:rPr>
            <a:t> na Base Anual</a:t>
          </a:r>
          <a:endParaRPr lang="pt-AO" sz="1400">
            <a:solidFill>
              <a:schemeClr val="bg1">
                <a:lumMod val="85000"/>
              </a:schemeClr>
            </a:solidFill>
            <a:latin typeface="Montserrat" panose="00000500000000000000" pitchFamily="2" charset="0"/>
          </a:endParaRPr>
        </a:p>
      </xdr:txBody>
    </xdr:sp>
    <xdr:clientData/>
  </xdr:twoCellAnchor>
  <xdr:twoCellAnchor>
    <xdr:from>
      <xdr:col>5</xdr:col>
      <xdr:colOff>85166</xdr:colOff>
      <xdr:row>26</xdr:row>
      <xdr:rowOff>22316</xdr:rowOff>
    </xdr:from>
    <xdr:to>
      <xdr:col>9</xdr:col>
      <xdr:colOff>605116</xdr:colOff>
      <xdr:row>27</xdr:row>
      <xdr:rowOff>105237</xdr:rowOff>
    </xdr:to>
    <xdr:sp macro="" textlink="">
      <xdr:nvSpPr>
        <xdr:cNvPr id="18" name="TextBox 17">
          <a:extLst>
            <a:ext uri="{FF2B5EF4-FFF2-40B4-BE49-F238E27FC236}">
              <a16:creationId xmlns:a16="http://schemas.microsoft.com/office/drawing/2014/main" id="{B2BAA324-F328-435E-9C2A-B8C73393E1A1}"/>
            </a:ext>
          </a:extLst>
        </xdr:cNvPr>
        <xdr:cNvSpPr txBox="1"/>
      </xdr:nvSpPr>
      <xdr:spPr>
        <a:xfrm>
          <a:off x="3110754" y="4975316"/>
          <a:ext cx="2940421" cy="273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400">
              <a:solidFill>
                <a:schemeClr val="bg1">
                  <a:lumMod val="85000"/>
                </a:schemeClr>
              </a:solidFill>
              <a:latin typeface="Montserrat" panose="00000500000000000000" pitchFamily="2" charset="0"/>
            </a:rPr>
            <a:t>Detalhamento de Despesas</a:t>
          </a:r>
          <a:endParaRPr lang="pt-AO" sz="1400">
            <a:solidFill>
              <a:schemeClr val="bg1">
                <a:lumMod val="85000"/>
              </a:schemeClr>
            </a:solidFill>
            <a:latin typeface="Montserrat" panose="00000500000000000000" pitchFamily="2" charset="0"/>
          </a:endParaRPr>
        </a:p>
      </xdr:txBody>
    </xdr:sp>
    <xdr:clientData/>
  </xdr:twoCellAnchor>
  <xdr:twoCellAnchor>
    <xdr:from>
      <xdr:col>14</xdr:col>
      <xdr:colOff>484095</xdr:colOff>
      <xdr:row>27</xdr:row>
      <xdr:rowOff>169360</xdr:rowOff>
    </xdr:from>
    <xdr:to>
      <xdr:col>18</xdr:col>
      <xdr:colOff>504263</xdr:colOff>
      <xdr:row>29</xdr:row>
      <xdr:rowOff>66263</xdr:rowOff>
    </xdr:to>
    <xdr:sp macro="" textlink="">
      <xdr:nvSpPr>
        <xdr:cNvPr id="19" name="TextBox 18">
          <a:extLst>
            <a:ext uri="{FF2B5EF4-FFF2-40B4-BE49-F238E27FC236}">
              <a16:creationId xmlns:a16="http://schemas.microsoft.com/office/drawing/2014/main" id="{D66FA3FC-105D-4C28-84D4-AD0E6C30AB16}"/>
            </a:ext>
          </a:extLst>
        </xdr:cNvPr>
        <xdr:cNvSpPr txBox="1"/>
      </xdr:nvSpPr>
      <xdr:spPr>
        <a:xfrm>
          <a:off x="8955742" y="5312860"/>
          <a:ext cx="2440639" cy="27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400">
              <a:solidFill>
                <a:schemeClr val="bg1">
                  <a:lumMod val="85000"/>
                </a:schemeClr>
              </a:solidFill>
              <a:latin typeface="Montserrat" panose="00000500000000000000" pitchFamily="2" charset="0"/>
            </a:rPr>
            <a:t>Receitas e Despesas</a:t>
          </a:r>
          <a:endParaRPr lang="pt-AO" sz="1400">
            <a:solidFill>
              <a:schemeClr val="bg1">
                <a:lumMod val="85000"/>
              </a:schemeClr>
            </a:solidFill>
            <a:latin typeface="Montserrat" panose="00000500000000000000" pitchFamily="2" charset="0"/>
          </a:endParaRPr>
        </a:p>
      </xdr:txBody>
    </xdr:sp>
    <xdr:clientData/>
  </xdr:twoCellAnchor>
  <xdr:twoCellAnchor editAs="oneCell">
    <xdr:from>
      <xdr:col>0</xdr:col>
      <xdr:colOff>179294</xdr:colOff>
      <xdr:row>3</xdr:row>
      <xdr:rowOff>179294</xdr:rowOff>
    </xdr:from>
    <xdr:to>
      <xdr:col>1</xdr:col>
      <xdr:colOff>63776</xdr:colOff>
      <xdr:row>6</xdr:row>
      <xdr:rowOff>97394</xdr:rowOff>
    </xdr:to>
    <xdr:pic>
      <xdr:nvPicPr>
        <xdr:cNvPr id="21" name="Graphic 20" descr="Pie chart with solid fill">
          <a:extLst>
            <a:ext uri="{FF2B5EF4-FFF2-40B4-BE49-F238E27FC236}">
              <a16:creationId xmlns:a16="http://schemas.microsoft.com/office/drawing/2014/main" id="{943B1DE1-E159-B1FD-89CB-77F93D56A0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294" y="750794"/>
          <a:ext cx="489600" cy="489600"/>
        </a:xfrm>
        <a:prstGeom prst="rect">
          <a:avLst/>
        </a:prstGeom>
      </xdr:spPr>
    </xdr:pic>
    <xdr:clientData/>
  </xdr:twoCellAnchor>
  <xdr:oneCellAnchor>
    <xdr:from>
      <xdr:col>1</xdr:col>
      <xdr:colOff>56029</xdr:colOff>
      <xdr:row>3</xdr:row>
      <xdr:rowOff>145677</xdr:rowOff>
    </xdr:from>
    <xdr:ext cx="1888659" cy="530017"/>
    <xdr:sp macro="" textlink="">
      <xdr:nvSpPr>
        <xdr:cNvPr id="20" name="TextBox 19">
          <a:extLst>
            <a:ext uri="{FF2B5EF4-FFF2-40B4-BE49-F238E27FC236}">
              <a16:creationId xmlns:a16="http://schemas.microsoft.com/office/drawing/2014/main" id="{D2C38B9E-D09C-FDB2-D5A9-CCD303B338E9}"/>
            </a:ext>
          </a:extLst>
        </xdr:cNvPr>
        <xdr:cNvSpPr txBox="1"/>
      </xdr:nvSpPr>
      <xdr:spPr>
        <a:xfrm>
          <a:off x="661147" y="717177"/>
          <a:ext cx="1888659" cy="5300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PT" sz="1400" b="1">
              <a:solidFill>
                <a:schemeClr val="bg1"/>
              </a:solidFill>
              <a:latin typeface="Montserrat" panose="00000500000000000000" pitchFamily="2" charset="0"/>
            </a:rPr>
            <a:t>Dashboard </a:t>
          </a:r>
        </a:p>
        <a:p>
          <a:r>
            <a:rPr lang="pt-PT" sz="1400" b="1">
              <a:solidFill>
                <a:schemeClr val="bg1"/>
              </a:solidFill>
              <a:latin typeface="Montserrat" panose="00000500000000000000" pitchFamily="2" charset="0"/>
            </a:rPr>
            <a:t>Finanças</a:t>
          </a:r>
          <a:r>
            <a:rPr lang="pt-PT" sz="1400" b="1" baseline="0">
              <a:solidFill>
                <a:schemeClr val="bg1"/>
              </a:solidFill>
              <a:latin typeface="Montserrat" panose="00000500000000000000" pitchFamily="2" charset="0"/>
            </a:rPr>
            <a:t> Pessoais</a:t>
          </a:r>
          <a:endParaRPr lang="pt-AO" sz="1400" b="1">
            <a:solidFill>
              <a:schemeClr val="bg1"/>
            </a:solidFill>
            <a:latin typeface="Montserrat" panose="00000500000000000000" pitchFamily="2" charset="0"/>
          </a:endParaRPr>
        </a:p>
      </xdr:txBody>
    </xdr:sp>
    <xdr:clientData/>
  </xdr:oneCellAnchor>
  <xdr:twoCellAnchor>
    <xdr:from>
      <xdr:col>5</xdr:col>
      <xdr:colOff>131279</xdr:colOff>
      <xdr:row>12</xdr:row>
      <xdr:rowOff>77754</xdr:rowOff>
    </xdr:from>
    <xdr:to>
      <xdr:col>13</xdr:col>
      <xdr:colOff>504825</xdr:colOff>
      <xdr:row>23</xdr:row>
      <xdr:rowOff>142089</xdr:rowOff>
    </xdr:to>
    <xdr:graphicFrame macro="">
      <xdr:nvGraphicFramePr>
        <xdr:cNvPr id="22" name="Chart 21">
          <a:extLst>
            <a:ext uri="{FF2B5EF4-FFF2-40B4-BE49-F238E27FC236}">
              <a16:creationId xmlns:a16="http://schemas.microsoft.com/office/drawing/2014/main" id="{70AE8BA6-579B-45D2-A35B-465F371A1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173934</xdr:colOff>
      <xdr:row>28</xdr:row>
      <xdr:rowOff>62848</xdr:rowOff>
    </xdr:from>
    <xdr:to>
      <xdr:col>10</xdr:col>
      <xdr:colOff>280148</xdr:colOff>
      <xdr:row>38</xdr:row>
      <xdr:rowOff>100853</xdr:rowOff>
    </xdr:to>
    <xdr:graphicFrame macro="">
      <xdr:nvGraphicFramePr>
        <xdr:cNvPr id="23" name="Chart 22">
          <a:extLst>
            <a:ext uri="{FF2B5EF4-FFF2-40B4-BE49-F238E27FC236}">
              <a16:creationId xmlns:a16="http://schemas.microsoft.com/office/drawing/2014/main" id="{D54061BB-B945-4003-B94D-2E28EB902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603337</xdr:colOff>
      <xdr:row>29</xdr:row>
      <xdr:rowOff>181828</xdr:rowOff>
    </xdr:from>
    <xdr:to>
      <xdr:col>23</xdr:col>
      <xdr:colOff>248478</xdr:colOff>
      <xdr:row>37</xdr:row>
      <xdr:rowOff>190015</xdr:rowOff>
    </xdr:to>
    <xdr:graphicFrame macro="">
      <xdr:nvGraphicFramePr>
        <xdr:cNvPr id="24" name="Chart 23">
          <a:extLst>
            <a:ext uri="{FF2B5EF4-FFF2-40B4-BE49-F238E27FC236}">
              <a16:creationId xmlns:a16="http://schemas.microsoft.com/office/drawing/2014/main" id="{9CCA7014-9641-4996-93C5-E0E664C30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397995</xdr:colOff>
      <xdr:row>3</xdr:row>
      <xdr:rowOff>184609</xdr:rowOff>
    </xdr:from>
    <xdr:to>
      <xdr:col>18</xdr:col>
      <xdr:colOff>587595</xdr:colOff>
      <xdr:row>15</xdr:row>
      <xdr:rowOff>51409</xdr:rowOff>
    </xdr:to>
    <xdr:graphicFrame macro="">
      <xdr:nvGraphicFramePr>
        <xdr:cNvPr id="25" name="Chart 24">
          <a:extLst>
            <a:ext uri="{FF2B5EF4-FFF2-40B4-BE49-F238E27FC236}">
              <a16:creationId xmlns:a16="http://schemas.microsoft.com/office/drawing/2014/main" id="{25576246-9BEF-4C05-9FC0-EAD4A9185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252912</xdr:colOff>
      <xdr:row>3</xdr:row>
      <xdr:rowOff>184609</xdr:rowOff>
    </xdr:from>
    <xdr:to>
      <xdr:col>23</xdr:col>
      <xdr:colOff>442512</xdr:colOff>
      <xdr:row>15</xdr:row>
      <xdr:rowOff>51409</xdr:rowOff>
    </xdr:to>
    <xdr:graphicFrame macro="">
      <xdr:nvGraphicFramePr>
        <xdr:cNvPr id="26" name="Chart 25">
          <a:extLst>
            <a:ext uri="{FF2B5EF4-FFF2-40B4-BE49-F238E27FC236}">
              <a16:creationId xmlns:a16="http://schemas.microsoft.com/office/drawing/2014/main" id="{706BC70A-CF49-4F58-929A-620C8D592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283159</xdr:colOff>
      <xdr:row>4</xdr:row>
      <xdr:rowOff>77198</xdr:rowOff>
    </xdr:from>
    <xdr:to>
      <xdr:col>14</xdr:col>
      <xdr:colOff>111543</xdr:colOff>
      <xdr:row>10</xdr:row>
      <xdr:rowOff>52551</xdr:rowOff>
    </xdr:to>
    <xdr:graphicFrame macro="">
      <xdr:nvGraphicFramePr>
        <xdr:cNvPr id="27" name="Chart 26">
          <a:extLst>
            <a:ext uri="{FF2B5EF4-FFF2-40B4-BE49-F238E27FC236}">
              <a16:creationId xmlns:a16="http://schemas.microsoft.com/office/drawing/2014/main" id="{A226F414-0AE2-4D6C-B9A3-1639FF80C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419836</xdr:colOff>
      <xdr:row>4</xdr:row>
      <xdr:rowOff>77199</xdr:rowOff>
    </xdr:from>
    <xdr:to>
      <xdr:col>9</xdr:col>
      <xdr:colOff>248221</xdr:colOff>
      <xdr:row>10</xdr:row>
      <xdr:rowOff>19707</xdr:rowOff>
    </xdr:to>
    <xdr:graphicFrame macro="">
      <xdr:nvGraphicFramePr>
        <xdr:cNvPr id="28" name="Chart 27">
          <a:extLst>
            <a:ext uri="{FF2B5EF4-FFF2-40B4-BE49-F238E27FC236}">
              <a16:creationId xmlns:a16="http://schemas.microsoft.com/office/drawing/2014/main" id="{3CDA2AEB-C4D6-41CA-80F2-F0CD28878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70912</xdr:colOff>
      <xdr:row>28</xdr:row>
      <xdr:rowOff>47528</xdr:rowOff>
    </xdr:from>
    <xdr:to>
      <xdr:col>14</xdr:col>
      <xdr:colOff>67895</xdr:colOff>
      <xdr:row>38</xdr:row>
      <xdr:rowOff>134471</xdr:rowOff>
    </xdr:to>
    <mc:AlternateContent xmlns:mc="http://schemas.openxmlformats.org/markup-compatibility/2006" xmlns:a14="http://schemas.microsoft.com/office/drawing/2010/main">
      <mc:Choice Requires="a14">
        <xdr:graphicFrame macro="">
          <xdr:nvGraphicFramePr>
            <xdr:cNvPr id="29" name="Categoria 1">
              <a:extLst>
                <a:ext uri="{FF2B5EF4-FFF2-40B4-BE49-F238E27FC236}">
                  <a16:creationId xmlns:a16="http://schemas.microsoft.com/office/drawing/2014/main" id="{ADEC0C2F-E1CC-4413-98BD-DCCE9898C091}"/>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mlns="">
        <xdr:sp macro="" textlink="">
          <xdr:nvSpPr>
            <xdr:cNvPr id="0" name=""/>
            <xdr:cNvSpPr>
              <a:spLocks noTextEdit="1"/>
            </xdr:cNvSpPr>
          </xdr:nvSpPr>
          <xdr:spPr>
            <a:xfrm>
              <a:off x="6727206" y="5381528"/>
              <a:ext cx="1812336" cy="1991943"/>
            </a:xfrm>
            <a:prstGeom prst="rect">
              <a:avLst/>
            </a:prstGeom>
            <a:solidFill>
              <a:prstClr val="white"/>
            </a:solidFill>
            <a:ln w="1">
              <a:solidFill>
                <a:prstClr val="green"/>
              </a:solidFill>
            </a:ln>
          </xdr:spPr>
          <xdr:txBody>
            <a:bodyPr vertOverflow="clip" horzOverflow="clip"/>
            <a:lstStyle/>
            <a:p>
              <a:r>
                <a:rPr lang="pt-A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8</xdr:row>
      <xdr:rowOff>0</xdr:rowOff>
    </xdr:from>
    <xdr:to>
      <xdr:col>3</xdr:col>
      <xdr:colOff>333375</xdr:colOff>
      <xdr:row>13</xdr:row>
      <xdr:rowOff>118241</xdr:rowOff>
    </xdr:to>
    <mc:AlternateContent xmlns:mc="http://schemas.openxmlformats.org/markup-compatibility/2006" xmlns:a14="http://schemas.microsoft.com/office/drawing/2010/main">
      <mc:Choice Requires="a14">
        <xdr:graphicFrame macro="">
          <xdr:nvGraphicFramePr>
            <xdr:cNvPr id="30" name="Ano 1">
              <a:extLst>
                <a:ext uri="{FF2B5EF4-FFF2-40B4-BE49-F238E27FC236}">
                  <a16:creationId xmlns:a16="http://schemas.microsoft.com/office/drawing/2014/main" id="{D66DA92C-D52D-4AFE-A319-EC41BBFBD293}"/>
                </a:ext>
              </a:extLst>
            </xdr:cNvPr>
            <xdr:cNvGraphicFramePr/>
          </xdr:nvGraphicFramePr>
          <xdr:xfrm>
            <a:off x="0" y="0"/>
            <a:ext cx="0" cy="0"/>
          </xdr:xfrm>
          <a:graphic>
            <a:graphicData uri="http://schemas.microsoft.com/office/drawing/2010/slicer">
              <sle:slicer xmlns:sle="http://schemas.microsoft.com/office/drawing/2010/slicer" name="Ano 1"/>
            </a:graphicData>
          </a:graphic>
        </xdr:graphicFrame>
      </mc:Choice>
      <mc:Fallback xmlns="">
        <xdr:sp macro="" textlink="">
          <xdr:nvSpPr>
            <xdr:cNvPr id="0" name=""/>
            <xdr:cNvSpPr>
              <a:spLocks noTextEdit="1"/>
            </xdr:cNvSpPr>
          </xdr:nvSpPr>
          <xdr:spPr>
            <a:xfrm>
              <a:off x="333375" y="1524000"/>
              <a:ext cx="1828800" cy="1247776"/>
            </a:xfrm>
            <a:prstGeom prst="rect">
              <a:avLst/>
            </a:prstGeom>
            <a:solidFill>
              <a:prstClr val="white"/>
            </a:solidFill>
            <a:ln w="1">
              <a:solidFill>
                <a:prstClr val="green"/>
              </a:solidFill>
            </a:ln>
          </xdr:spPr>
          <xdr:txBody>
            <a:bodyPr vertOverflow="clip" horzOverflow="clip"/>
            <a:lstStyle/>
            <a:p>
              <a:r>
                <a:rPr lang="pt-A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15</xdr:row>
      <xdr:rowOff>39414</xdr:rowOff>
    </xdr:from>
    <xdr:to>
      <xdr:col>3</xdr:col>
      <xdr:colOff>347382</xdr:colOff>
      <xdr:row>35</xdr:row>
      <xdr:rowOff>168088</xdr:rowOff>
    </xdr:to>
    <mc:AlternateContent xmlns:mc="http://schemas.openxmlformats.org/markup-compatibility/2006" xmlns:a14="http://schemas.microsoft.com/office/drawing/2010/main">
      <mc:Choice Requires="a14">
        <xdr:graphicFrame macro="">
          <xdr:nvGraphicFramePr>
            <xdr:cNvPr id="31" name="Mês_extenso 1">
              <a:extLst>
                <a:ext uri="{FF2B5EF4-FFF2-40B4-BE49-F238E27FC236}">
                  <a16:creationId xmlns:a16="http://schemas.microsoft.com/office/drawing/2014/main" id="{6693D699-EF7D-4C46-8211-C80F6239B88C}"/>
                </a:ext>
              </a:extLst>
            </xdr:cNvPr>
            <xdr:cNvGraphicFramePr/>
          </xdr:nvGraphicFramePr>
          <xdr:xfrm>
            <a:off x="0" y="0"/>
            <a:ext cx="0" cy="0"/>
          </xdr:xfrm>
          <a:graphic>
            <a:graphicData uri="http://schemas.microsoft.com/office/drawing/2010/slicer">
              <sle:slicer xmlns:sle="http://schemas.microsoft.com/office/drawing/2010/slicer" name="Mês_extenso 1"/>
            </a:graphicData>
          </a:graphic>
        </xdr:graphicFrame>
      </mc:Choice>
      <mc:Fallback xmlns="">
        <xdr:sp macro="" textlink="">
          <xdr:nvSpPr>
            <xdr:cNvPr id="0" name=""/>
            <xdr:cNvSpPr>
              <a:spLocks noTextEdit="1"/>
            </xdr:cNvSpPr>
          </xdr:nvSpPr>
          <xdr:spPr>
            <a:xfrm>
              <a:off x="342900" y="3086099"/>
              <a:ext cx="1828800" cy="2524125"/>
            </a:xfrm>
            <a:prstGeom prst="rect">
              <a:avLst/>
            </a:prstGeom>
            <a:solidFill>
              <a:prstClr val="white"/>
            </a:solidFill>
            <a:ln w="1">
              <a:solidFill>
                <a:prstClr val="green"/>
              </a:solidFill>
            </a:ln>
          </xdr:spPr>
          <xdr:txBody>
            <a:bodyPr vertOverflow="clip" horzOverflow="clip"/>
            <a:lstStyle/>
            <a:p>
              <a:r>
                <a:rPr lang="pt-A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443677</xdr:colOff>
      <xdr:row>24</xdr:row>
      <xdr:rowOff>89716</xdr:rowOff>
    </xdr:from>
    <xdr:to>
      <xdr:col>16</xdr:col>
      <xdr:colOff>112751</xdr:colOff>
      <xdr:row>26</xdr:row>
      <xdr:rowOff>33111</xdr:rowOff>
    </xdr:to>
    <xdr:sp macro="" textlink="#REF!">
      <xdr:nvSpPr>
        <xdr:cNvPr id="32" name="CaixaDeTexto 43">
          <a:extLst>
            <a:ext uri="{FF2B5EF4-FFF2-40B4-BE49-F238E27FC236}">
              <a16:creationId xmlns:a16="http://schemas.microsoft.com/office/drawing/2014/main" id="{B6494C38-690F-4120-AC78-EA358E9A9293}"/>
            </a:ext>
          </a:extLst>
        </xdr:cNvPr>
        <xdr:cNvSpPr txBox="1"/>
      </xdr:nvSpPr>
      <xdr:spPr>
        <a:xfrm>
          <a:off x="8915324" y="4661716"/>
          <a:ext cx="879309" cy="32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A9CCFC-5223-49DA-921A-5E032B4B2BE1}" type="TxLink">
            <a:rPr lang="en-US" sz="600" b="0" i="0" u="none" strike="noStrike">
              <a:solidFill>
                <a:schemeClr val="bg2">
                  <a:lumMod val="90000"/>
                </a:schemeClr>
              </a:solidFill>
              <a:latin typeface="Montserrat" panose="00000500000000000000" pitchFamily="2" charset="0"/>
              <a:ea typeface="Calibri"/>
              <a:cs typeface="Calibri"/>
            </a:rPr>
            <a:pPr algn="ctr"/>
            <a:t>Moradia</a:t>
          </a:fld>
          <a:endParaRPr lang="pt-BR" sz="600">
            <a:solidFill>
              <a:schemeClr val="bg2">
                <a:lumMod val="90000"/>
              </a:schemeClr>
            </a:solidFill>
            <a:latin typeface="Montserrat" panose="00000500000000000000" pitchFamily="2" charset="0"/>
          </a:endParaRPr>
        </a:p>
      </xdr:txBody>
    </xdr:sp>
    <xdr:clientData/>
  </xdr:twoCellAnchor>
  <xdr:twoCellAnchor>
    <xdr:from>
      <xdr:col>22</xdr:col>
      <xdr:colOff>69207</xdr:colOff>
      <xdr:row>24</xdr:row>
      <xdr:rowOff>89716</xdr:rowOff>
    </xdr:from>
    <xdr:to>
      <xdr:col>23</xdr:col>
      <xdr:colOff>347881</xdr:colOff>
      <xdr:row>26</xdr:row>
      <xdr:rowOff>33111</xdr:rowOff>
    </xdr:to>
    <xdr:sp macro="" textlink="#REF!">
      <xdr:nvSpPr>
        <xdr:cNvPr id="33" name="CaixaDeTexto 44">
          <a:extLst>
            <a:ext uri="{FF2B5EF4-FFF2-40B4-BE49-F238E27FC236}">
              <a16:creationId xmlns:a16="http://schemas.microsoft.com/office/drawing/2014/main" id="{7B44C51C-37B5-43F5-8153-990D8FD20CF4}"/>
            </a:ext>
          </a:extLst>
        </xdr:cNvPr>
        <xdr:cNvSpPr txBox="1"/>
      </xdr:nvSpPr>
      <xdr:spPr>
        <a:xfrm>
          <a:off x="13381795" y="4661716"/>
          <a:ext cx="883792" cy="32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3EFD6A-413C-4500-861D-407A8B1E7857}" type="TxLink">
            <a:rPr lang="en-US" sz="600" b="0" i="0" u="none" strike="noStrike">
              <a:solidFill>
                <a:schemeClr val="bg2">
                  <a:lumMod val="90000"/>
                </a:schemeClr>
              </a:solidFill>
              <a:latin typeface="Montserrat" panose="00000500000000000000" pitchFamily="2" charset="0"/>
              <a:ea typeface="Calibri"/>
              <a:cs typeface="Calibri"/>
            </a:rPr>
            <a:pPr algn="ctr"/>
            <a:t>Vestuário</a:t>
          </a:fld>
          <a:endParaRPr lang="pt-BR" sz="600">
            <a:solidFill>
              <a:schemeClr val="bg2">
                <a:lumMod val="90000"/>
              </a:schemeClr>
            </a:solidFill>
            <a:latin typeface="Montserrat" panose="00000500000000000000" pitchFamily="2" charset="0"/>
          </a:endParaRPr>
        </a:p>
      </xdr:txBody>
    </xdr:sp>
    <xdr:clientData/>
  </xdr:twoCellAnchor>
  <xdr:twoCellAnchor>
    <xdr:from>
      <xdr:col>20</xdr:col>
      <xdr:colOff>387941</xdr:colOff>
      <xdr:row>24</xdr:row>
      <xdr:rowOff>89716</xdr:rowOff>
    </xdr:from>
    <xdr:to>
      <xdr:col>22</xdr:col>
      <xdr:colOff>57015</xdr:colOff>
      <xdr:row>26</xdr:row>
      <xdr:rowOff>33111</xdr:rowOff>
    </xdr:to>
    <xdr:sp macro="" textlink="#REF!">
      <xdr:nvSpPr>
        <xdr:cNvPr id="34" name="CaixaDeTexto 45">
          <a:extLst>
            <a:ext uri="{FF2B5EF4-FFF2-40B4-BE49-F238E27FC236}">
              <a16:creationId xmlns:a16="http://schemas.microsoft.com/office/drawing/2014/main" id="{D0F68D7C-4C2A-4314-B3CC-E1D20A98216E}"/>
            </a:ext>
          </a:extLst>
        </xdr:cNvPr>
        <xdr:cNvSpPr txBox="1"/>
      </xdr:nvSpPr>
      <xdr:spPr>
        <a:xfrm>
          <a:off x="12490294" y="4661716"/>
          <a:ext cx="879309" cy="32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00D730-271C-452F-B7E9-E579012F81D5}" type="TxLink">
            <a:rPr lang="en-US" sz="600" b="0" i="0" u="none" strike="noStrike">
              <a:solidFill>
                <a:schemeClr val="bg2">
                  <a:lumMod val="90000"/>
                </a:schemeClr>
              </a:solidFill>
              <a:latin typeface="Montserrat" panose="00000500000000000000" pitchFamily="2" charset="0"/>
              <a:ea typeface="Calibri"/>
              <a:cs typeface="Calibri"/>
            </a:rPr>
            <a:pPr algn="ctr"/>
            <a:t>Lazer</a:t>
          </a:fld>
          <a:endParaRPr lang="pt-BR" sz="600">
            <a:solidFill>
              <a:schemeClr val="bg2">
                <a:lumMod val="90000"/>
              </a:schemeClr>
            </a:solidFill>
            <a:latin typeface="Montserrat" panose="00000500000000000000" pitchFamily="2" charset="0"/>
          </a:endParaRPr>
        </a:p>
      </xdr:txBody>
    </xdr:sp>
    <xdr:clientData/>
  </xdr:twoCellAnchor>
  <xdr:twoCellAnchor>
    <xdr:from>
      <xdr:col>19</xdr:col>
      <xdr:colOff>97075</xdr:colOff>
      <xdr:row>24</xdr:row>
      <xdr:rowOff>89716</xdr:rowOff>
    </xdr:from>
    <xdr:to>
      <xdr:col>20</xdr:col>
      <xdr:colOff>375749</xdr:colOff>
      <xdr:row>26</xdr:row>
      <xdr:rowOff>33111</xdr:rowOff>
    </xdr:to>
    <xdr:sp macro="" textlink="#REF!">
      <xdr:nvSpPr>
        <xdr:cNvPr id="35" name="CaixaDeTexto 46">
          <a:extLst>
            <a:ext uri="{FF2B5EF4-FFF2-40B4-BE49-F238E27FC236}">
              <a16:creationId xmlns:a16="http://schemas.microsoft.com/office/drawing/2014/main" id="{2868682A-4238-4F0A-8AFF-5B02735A5ABE}"/>
            </a:ext>
          </a:extLst>
        </xdr:cNvPr>
        <xdr:cNvSpPr txBox="1"/>
      </xdr:nvSpPr>
      <xdr:spPr>
        <a:xfrm>
          <a:off x="11594310" y="4661716"/>
          <a:ext cx="883792" cy="32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90011E-C4C3-40FD-9B8C-4B11DC3E2DB3}" type="TxLink">
            <a:rPr lang="en-US" sz="600" b="0" i="0" u="none" strike="noStrike">
              <a:solidFill>
                <a:schemeClr val="bg2">
                  <a:lumMod val="90000"/>
                </a:schemeClr>
              </a:solidFill>
              <a:latin typeface="Montserrat" panose="00000500000000000000" pitchFamily="2" charset="0"/>
              <a:ea typeface="Calibri"/>
              <a:cs typeface="Calibri"/>
            </a:rPr>
            <a:pPr algn="ctr"/>
            <a:t>Saúde</a:t>
          </a:fld>
          <a:endParaRPr lang="pt-BR" sz="600">
            <a:solidFill>
              <a:schemeClr val="bg2">
                <a:lumMod val="90000"/>
              </a:schemeClr>
            </a:solidFill>
            <a:latin typeface="Montserrat" panose="00000500000000000000" pitchFamily="2" charset="0"/>
          </a:endParaRPr>
        </a:p>
      </xdr:txBody>
    </xdr:sp>
    <xdr:clientData/>
  </xdr:twoCellAnchor>
  <xdr:twoCellAnchor>
    <xdr:from>
      <xdr:col>17</xdr:col>
      <xdr:colOff>415809</xdr:colOff>
      <xdr:row>24</xdr:row>
      <xdr:rowOff>89716</xdr:rowOff>
    </xdr:from>
    <xdr:to>
      <xdr:col>19</xdr:col>
      <xdr:colOff>84883</xdr:colOff>
      <xdr:row>26</xdr:row>
      <xdr:rowOff>33111</xdr:rowOff>
    </xdr:to>
    <xdr:sp macro="" textlink="#REF!">
      <xdr:nvSpPr>
        <xdr:cNvPr id="36" name="CaixaDeTexto 47">
          <a:extLst>
            <a:ext uri="{FF2B5EF4-FFF2-40B4-BE49-F238E27FC236}">
              <a16:creationId xmlns:a16="http://schemas.microsoft.com/office/drawing/2014/main" id="{F4FDDF9F-A179-4F91-A092-88EEE8C86F10}"/>
            </a:ext>
          </a:extLst>
        </xdr:cNvPr>
        <xdr:cNvSpPr txBox="1"/>
      </xdr:nvSpPr>
      <xdr:spPr>
        <a:xfrm>
          <a:off x="10702809" y="4661716"/>
          <a:ext cx="879309" cy="32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6FF085-D38E-4D7A-8C5D-4FAD5B16B320}" type="TxLink">
            <a:rPr lang="en-US" sz="600" b="0" i="0" u="none" strike="noStrike">
              <a:solidFill>
                <a:schemeClr val="bg2">
                  <a:lumMod val="90000"/>
                </a:schemeClr>
              </a:solidFill>
              <a:latin typeface="Montserrat" panose="00000500000000000000" pitchFamily="2" charset="0"/>
              <a:ea typeface="Calibri"/>
              <a:cs typeface="Calibri"/>
            </a:rPr>
            <a:pPr algn="ctr"/>
            <a:t>Transporte</a:t>
          </a:fld>
          <a:endParaRPr lang="pt-BR" sz="600">
            <a:solidFill>
              <a:schemeClr val="bg2">
                <a:lumMod val="90000"/>
              </a:schemeClr>
            </a:solidFill>
            <a:latin typeface="Montserrat" panose="00000500000000000000" pitchFamily="2" charset="0"/>
          </a:endParaRPr>
        </a:p>
      </xdr:txBody>
    </xdr:sp>
    <xdr:clientData/>
  </xdr:twoCellAnchor>
  <xdr:twoCellAnchor>
    <xdr:from>
      <xdr:col>16</xdr:col>
      <xdr:colOff>124943</xdr:colOff>
      <xdr:row>24</xdr:row>
      <xdr:rowOff>89716</xdr:rowOff>
    </xdr:from>
    <xdr:to>
      <xdr:col>17</xdr:col>
      <xdr:colOff>403617</xdr:colOff>
      <xdr:row>26</xdr:row>
      <xdr:rowOff>33111</xdr:rowOff>
    </xdr:to>
    <xdr:sp macro="" textlink="#REF!">
      <xdr:nvSpPr>
        <xdr:cNvPr id="37" name="CaixaDeTexto 48">
          <a:extLst>
            <a:ext uri="{FF2B5EF4-FFF2-40B4-BE49-F238E27FC236}">
              <a16:creationId xmlns:a16="http://schemas.microsoft.com/office/drawing/2014/main" id="{F9FD663F-FE55-4863-AAD6-D98F4E5D564D}"/>
            </a:ext>
          </a:extLst>
        </xdr:cNvPr>
        <xdr:cNvSpPr txBox="1"/>
      </xdr:nvSpPr>
      <xdr:spPr>
        <a:xfrm>
          <a:off x="9806825" y="4661716"/>
          <a:ext cx="883792" cy="324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BA791D-CB36-44F2-80EC-FB1954AA78DF}" type="TxLink">
            <a:rPr lang="en-US" sz="600" b="0" i="0" u="none" strike="noStrike">
              <a:solidFill>
                <a:schemeClr val="bg2">
                  <a:lumMod val="90000"/>
                </a:schemeClr>
              </a:solidFill>
              <a:latin typeface="Montserrat" panose="00000500000000000000" pitchFamily="2" charset="0"/>
              <a:ea typeface="Calibri"/>
              <a:cs typeface="Calibri"/>
            </a:rPr>
            <a:pPr algn="ctr"/>
            <a:t>Subsistência</a:t>
          </a:fld>
          <a:endParaRPr lang="pt-BR" sz="600">
            <a:solidFill>
              <a:schemeClr val="bg2">
                <a:lumMod val="90000"/>
              </a:schemeClr>
            </a:solidFill>
            <a:latin typeface="Montserrat" panose="00000500000000000000" pitchFamily="2" charset="0"/>
          </a:endParaRPr>
        </a:p>
      </xdr:txBody>
    </xdr:sp>
    <xdr:clientData/>
  </xdr:twoCellAnchor>
  <xdr:twoCellAnchor>
    <xdr:from>
      <xdr:col>17</xdr:col>
      <xdr:colOff>384918</xdr:colOff>
      <xdr:row>18</xdr:row>
      <xdr:rowOff>66225</xdr:rowOff>
    </xdr:from>
    <xdr:to>
      <xdr:col>19</xdr:col>
      <xdr:colOff>63986</xdr:colOff>
      <xdr:row>24</xdr:row>
      <xdr:rowOff>190425</xdr:rowOff>
    </xdr:to>
    <xdr:graphicFrame macro="">
      <xdr:nvGraphicFramePr>
        <xdr:cNvPr id="38" name="Chart 37">
          <a:extLst>
            <a:ext uri="{FF2B5EF4-FFF2-40B4-BE49-F238E27FC236}">
              <a16:creationId xmlns:a16="http://schemas.microsoft.com/office/drawing/2014/main" id="{0CFFB88E-5974-4224-A713-EB8FBE9BB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99352</xdr:colOff>
      <xdr:row>18</xdr:row>
      <xdr:rowOff>66225</xdr:rowOff>
    </xdr:from>
    <xdr:to>
      <xdr:col>23</xdr:col>
      <xdr:colOff>388886</xdr:colOff>
      <xdr:row>24</xdr:row>
      <xdr:rowOff>190425</xdr:rowOff>
    </xdr:to>
    <xdr:graphicFrame macro="">
      <xdr:nvGraphicFramePr>
        <xdr:cNvPr id="39" name="Chart 38">
          <a:extLst>
            <a:ext uri="{FF2B5EF4-FFF2-40B4-BE49-F238E27FC236}">
              <a16:creationId xmlns:a16="http://schemas.microsoft.com/office/drawing/2014/main" id="{1E32D322-749B-4F45-AECD-F1B71851C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96942</xdr:colOff>
      <xdr:row>18</xdr:row>
      <xdr:rowOff>60272</xdr:rowOff>
    </xdr:from>
    <xdr:to>
      <xdr:col>17</xdr:col>
      <xdr:colOff>386477</xdr:colOff>
      <xdr:row>24</xdr:row>
      <xdr:rowOff>184472</xdr:rowOff>
    </xdr:to>
    <xdr:graphicFrame macro="">
      <xdr:nvGraphicFramePr>
        <xdr:cNvPr id="40" name="Chart 39">
          <a:extLst>
            <a:ext uri="{FF2B5EF4-FFF2-40B4-BE49-F238E27FC236}">
              <a16:creationId xmlns:a16="http://schemas.microsoft.com/office/drawing/2014/main" id="{D9B70FF4-C3E7-4159-A116-327EC2887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371807</xdr:colOff>
      <xdr:row>18</xdr:row>
      <xdr:rowOff>66225</xdr:rowOff>
    </xdr:from>
    <xdr:to>
      <xdr:col>16</xdr:col>
      <xdr:colOff>50875</xdr:colOff>
      <xdr:row>24</xdr:row>
      <xdr:rowOff>190425</xdr:rowOff>
    </xdr:to>
    <xdr:graphicFrame macro="">
      <xdr:nvGraphicFramePr>
        <xdr:cNvPr id="41" name="Chart 40">
          <a:extLst>
            <a:ext uri="{FF2B5EF4-FFF2-40B4-BE49-F238E27FC236}">
              <a16:creationId xmlns:a16="http://schemas.microsoft.com/office/drawing/2014/main" id="{EF375D1B-52C3-493C-9C8C-6F7F5C8F5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86240</xdr:colOff>
      <xdr:row>18</xdr:row>
      <xdr:rowOff>66225</xdr:rowOff>
    </xdr:from>
    <xdr:to>
      <xdr:col>20</xdr:col>
      <xdr:colOff>375774</xdr:colOff>
      <xdr:row>24</xdr:row>
      <xdr:rowOff>190425</xdr:rowOff>
    </xdr:to>
    <xdr:graphicFrame macro="">
      <xdr:nvGraphicFramePr>
        <xdr:cNvPr id="42" name="Chart 41">
          <a:extLst>
            <a:ext uri="{FF2B5EF4-FFF2-40B4-BE49-F238E27FC236}">
              <a16:creationId xmlns:a16="http://schemas.microsoft.com/office/drawing/2014/main" id="{0F499EE5-25C3-469B-8570-E65213BF7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398028</xdr:colOff>
      <xdr:row>18</xdr:row>
      <xdr:rowOff>66225</xdr:rowOff>
    </xdr:from>
    <xdr:to>
      <xdr:col>22</xdr:col>
      <xdr:colOff>77096</xdr:colOff>
      <xdr:row>24</xdr:row>
      <xdr:rowOff>190425</xdr:rowOff>
    </xdr:to>
    <xdr:graphicFrame macro="">
      <xdr:nvGraphicFramePr>
        <xdr:cNvPr id="43" name="Chart 42">
          <a:extLst>
            <a:ext uri="{FF2B5EF4-FFF2-40B4-BE49-F238E27FC236}">
              <a16:creationId xmlns:a16="http://schemas.microsoft.com/office/drawing/2014/main" id="{CE3697F4-5ED4-4F9E-B1D3-791E91A64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85726</xdr:colOff>
      <xdr:row>9</xdr:row>
      <xdr:rowOff>123825</xdr:rowOff>
    </xdr:from>
    <xdr:to>
      <xdr:col>17</xdr:col>
      <xdr:colOff>53288</xdr:colOff>
      <xdr:row>11</xdr:row>
      <xdr:rowOff>9566</xdr:rowOff>
    </xdr:to>
    <xdr:sp macro="" textlink="">
      <xdr:nvSpPr>
        <xdr:cNvPr id="44" name="CaixaDeTexto 23">
          <a:extLst>
            <a:ext uri="{FF2B5EF4-FFF2-40B4-BE49-F238E27FC236}">
              <a16:creationId xmlns:a16="http://schemas.microsoft.com/office/drawing/2014/main" id="{294F631C-6333-40B6-8049-897284BA298A}"/>
            </a:ext>
          </a:extLst>
        </xdr:cNvPr>
        <xdr:cNvSpPr txBox="1"/>
      </xdr:nvSpPr>
      <xdr:spPr>
        <a:xfrm>
          <a:off x="9229726" y="1838325"/>
          <a:ext cx="1186762" cy="26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b"/>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500" b="0" i="0" u="none" strike="noStrike">
              <a:solidFill>
                <a:schemeClr val="bg2">
                  <a:lumMod val="75000"/>
                </a:schemeClr>
              </a:solidFill>
              <a:latin typeface="Montserrat" panose="00000500000000000000" pitchFamily="2" charset="0"/>
              <a:ea typeface="Calibri"/>
              <a:cs typeface="Calibri"/>
            </a:rPr>
            <a:t>Participação  na</a:t>
          </a:r>
        </a:p>
        <a:p>
          <a:pPr algn="ctr"/>
          <a:r>
            <a:rPr lang="en-US" sz="500" b="0" i="0" u="none" strike="noStrike">
              <a:solidFill>
                <a:schemeClr val="bg2">
                  <a:lumMod val="75000"/>
                </a:schemeClr>
              </a:solidFill>
              <a:latin typeface="Montserrat" panose="00000500000000000000" pitchFamily="2" charset="0"/>
              <a:ea typeface="Calibri"/>
              <a:cs typeface="Calibri"/>
            </a:rPr>
            <a:t>Base Anual</a:t>
          </a:r>
          <a:endParaRPr lang="pt-BR" sz="500">
            <a:solidFill>
              <a:schemeClr val="bg2">
                <a:lumMod val="75000"/>
              </a:schemeClr>
            </a:solidFill>
            <a:latin typeface="Montserrat" panose="00000500000000000000" pitchFamily="2" charset="0"/>
          </a:endParaRPr>
        </a:p>
      </xdr:txBody>
    </xdr:sp>
    <xdr:clientData/>
  </xdr:twoCellAnchor>
  <xdr:twoCellAnchor>
    <xdr:from>
      <xdr:col>19</xdr:col>
      <xdr:colOff>441365</xdr:colOff>
      <xdr:row>9</xdr:row>
      <xdr:rowOff>123825</xdr:rowOff>
    </xdr:from>
    <xdr:to>
      <xdr:col>21</xdr:col>
      <xdr:colOff>408927</xdr:colOff>
      <xdr:row>11</xdr:row>
      <xdr:rowOff>20772</xdr:rowOff>
    </xdr:to>
    <xdr:sp macro="" textlink="">
      <xdr:nvSpPr>
        <xdr:cNvPr id="45" name="CaixaDeTexto 23">
          <a:extLst>
            <a:ext uri="{FF2B5EF4-FFF2-40B4-BE49-F238E27FC236}">
              <a16:creationId xmlns:a16="http://schemas.microsoft.com/office/drawing/2014/main" id="{68727F07-5F69-486C-9B55-460D9C6321D2}"/>
            </a:ext>
          </a:extLst>
        </xdr:cNvPr>
        <xdr:cNvSpPr txBox="1"/>
      </xdr:nvSpPr>
      <xdr:spPr>
        <a:xfrm>
          <a:off x="12023765" y="1838325"/>
          <a:ext cx="1186762" cy="277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b"/>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500" b="0" i="0" u="none" strike="noStrike">
              <a:solidFill>
                <a:schemeClr val="bg2">
                  <a:lumMod val="75000"/>
                </a:schemeClr>
              </a:solidFill>
              <a:latin typeface="Montserrat" panose="00000500000000000000" pitchFamily="2" charset="0"/>
              <a:ea typeface="Calibri"/>
              <a:cs typeface="Calibri"/>
            </a:rPr>
            <a:t>Participação na</a:t>
          </a:r>
        </a:p>
        <a:p>
          <a:pPr algn="ctr"/>
          <a:r>
            <a:rPr lang="en-US" sz="500" b="0" i="0" u="none" strike="noStrike">
              <a:solidFill>
                <a:schemeClr val="bg2">
                  <a:lumMod val="75000"/>
                </a:schemeClr>
              </a:solidFill>
              <a:latin typeface="Montserrat" panose="00000500000000000000" pitchFamily="2" charset="0"/>
              <a:ea typeface="Calibri"/>
              <a:cs typeface="Calibri"/>
            </a:rPr>
            <a:t>Base Total</a:t>
          </a:r>
          <a:endParaRPr lang="pt-BR" sz="500">
            <a:solidFill>
              <a:schemeClr val="bg2">
                <a:lumMod val="75000"/>
              </a:schemeClr>
            </a:solidFill>
            <a:latin typeface="Montserrat" panose="00000500000000000000" pitchFamily="2" charset="0"/>
          </a:endParaRPr>
        </a:p>
      </xdr:txBody>
    </xdr:sp>
    <xdr:clientData/>
  </xdr:twoCellAnchor>
  <xdr:twoCellAnchor>
    <xdr:from>
      <xdr:col>15</xdr:col>
      <xdr:colOff>114301</xdr:colOff>
      <xdr:row>8</xdr:row>
      <xdr:rowOff>28575</xdr:rowOff>
    </xdr:from>
    <xdr:to>
      <xdr:col>17</xdr:col>
      <xdr:colOff>81863</xdr:colOff>
      <xdr:row>9</xdr:row>
      <xdr:rowOff>104816</xdr:rowOff>
    </xdr:to>
    <xdr:sp macro="" textlink="">
      <xdr:nvSpPr>
        <xdr:cNvPr id="46" name="CaixaDeTexto 23">
          <a:extLst>
            <a:ext uri="{FF2B5EF4-FFF2-40B4-BE49-F238E27FC236}">
              <a16:creationId xmlns:a16="http://schemas.microsoft.com/office/drawing/2014/main" id="{AA37ED4C-B3FB-408C-906A-9FAC65100E58}"/>
            </a:ext>
          </a:extLst>
        </xdr:cNvPr>
        <xdr:cNvSpPr txBox="1"/>
      </xdr:nvSpPr>
      <xdr:spPr>
        <a:xfrm>
          <a:off x="9258301" y="1552575"/>
          <a:ext cx="1186762" cy="266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b"/>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pt-AO" sz="1400" b="0" i="0" u="none" strike="noStrike">
              <a:solidFill>
                <a:schemeClr val="bg1">
                  <a:lumMod val="85000"/>
                </a:schemeClr>
              </a:solidFill>
              <a:effectLst/>
              <a:latin typeface="Montserrat" panose="00000500000000000000" pitchFamily="2" charset="0"/>
              <a:ea typeface="+mn-ea"/>
              <a:cs typeface="+mn-cs"/>
            </a:rPr>
            <a:t>8,4%</a:t>
          </a:r>
          <a:r>
            <a:rPr lang="pt-AO" sz="1400">
              <a:solidFill>
                <a:schemeClr val="bg1">
                  <a:lumMod val="85000"/>
                </a:schemeClr>
              </a:solidFill>
              <a:effectLst/>
              <a:latin typeface="Montserrat" panose="00000500000000000000" pitchFamily="2" charset="0"/>
            </a:rPr>
            <a:t> </a:t>
          </a:r>
          <a:endParaRPr lang="pt-BR" sz="1400">
            <a:solidFill>
              <a:schemeClr val="bg1">
                <a:lumMod val="85000"/>
              </a:schemeClr>
            </a:solidFill>
            <a:latin typeface="Montserrat" panose="00000500000000000000" pitchFamily="2" charset="0"/>
          </a:endParaRPr>
        </a:p>
      </xdr:txBody>
    </xdr:sp>
    <xdr:clientData/>
  </xdr:twoCellAnchor>
  <xdr:twoCellAnchor>
    <xdr:from>
      <xdr:col>19</xdr:col>
      <xdr:colOff>422315</xdr:colOff>
      <xdr:row>8</xdr:row>
      <xdr:rowOff>28575</xdr:rowOff>
    </xdr:from>
    <xdr:to>
      <xdr:col>21</xdr:col>
      <xdr:colOff>389877</xdr:colOff>
      <xdr:row>9</xdr:row>
      <xdr:rowOff>116022</xdr:rowOff>
    </xdr:to>
    <xdr:sp macro="" textlink="">
      <xdr:nvSpPr>
        <xdr:cNvPr id="47" name="CaixaDeTexto 23">
          <a:extLst>
            <a:ext uri="{FF2B5EF4-FFF2-40B4-BE49-F238E27FC236}">
              <a16:creationId xmlns:a16="http://schemas.microsoft.com/office/drawing/2014/main" id="{1BD34304-4E8F-46B9-8E01-FA250E72DCE0}"/>
            </a:ext>
          </a:extLst>
        </xdr:cNvPr>
        <xdr:cNvSpPr txBox="1"/>
      </xdr:nvSpPr>
      <xdr:spPr>
        <a:xfrm>
          <a:off x="12004715" y="1552575"/>
          <a:ext cx="1186762" cy="277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b"/>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pt-AO" sz="1400" b="0" i="0" u="none" strike="noStrike">
              <a:solidFill>
                <a:schemeClr val="bg1">
                  <a:lumMod val="85000"/>
                </a:schemeClr>
              </a:solidFill>
              <a:effectLst/>
              <a:latin typeface="Montserrat" panose="00000500000000000000" pitchFamily="2" charset="0"/>
              <a:ea typeface="+mn-ea"/>
              <a:cs typeface="+mn-cs"/>
            </a:rPr>
            <a:t>34,0%</a:t>
          </a:r>
          <a:r>
            <a:rPr lang="pt-AO" sz="1400">
              <a:solidFill>
                <a:schemeClr val="bg1">
                  <a:lumMod val="85000"/>
                </a:schemeClr>
              </a:solidFill>
              <a:effectLst/>
              <a:latin typeface="Montserrat" panose="00000500000000000000" pitchFamily="2" charset="0"/>
            </a:rPr>
            <a:t> </a:t>
          </a:r>
          <a:endParaRPr lang="pt-BR" sz="1400">
            <a:solidFill>
              <a:schemeClr val="bg1">
                <a:lumMod val="85000"/>
              </a:schemeClr>
            </a:solidFill>
            <a:latin typeface="Montserrat" panose="00000500000000000000" pitchFamily="2" charset="0"/>
          </a:endParaRPr>
        </a:p>
      </xdr:txBody>
    </xdr:sp>
    <xdr:clientData/>
  </xdr:twoCellAnchor>
  <xdr:oneCellAnchor>
    <xdr:from>
      <xdr:col>15</xdr:col>
      <xdr:colOff>12109</xdr:colOff>
      <xdr:row>20</xdr:row>
      <xdr:rowOff>184756</xdr:rowOff>
    </xdr:from>
    <xdr:ext cx="482298" cy="264303"/>
    <xdr:sp macro="" textlink="'Análise do Zero'!K32">
      <xdr:nvSpPr>
        <xdr:cNvPr id="50" name="TextBox 49">
          <a:extLst>
            <a:ext uri="{FF2B5EF4-FFF2-40B4-BE49-F238E27FC236}">
              <a16:creationId xmlns:a16="http://schemas.microsoft.com/office/drawing/2014/main" id="{E7F11010-8A63-C05F-F89A-E155B7D8041E}"/>
            </a:ext>
          </a:extLst>
        </xdr:cNvPr>
        <xdr:cNvSpPr txBox="1"/>
      </xdr:nvSpPr>
      <xdr:spPr>
        <a:xfrm>
          <a:off x="9088874" y="3994756"/>
          <a:ext cx="482298" cy="264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B6C1140-1D91-4ABC-B971-40A48370A5B4}" type="TxLink">
            <a:rPr lang="en-US" sz="1100" b="0" i="0" u="none" strike="noStrike">
              <a:solidFill>
                <a:schemeClr val="bg1"/>
              </a:solidFill>
              <a:latin typeface="Montserrat" panose="00000500000000000000" pitchFamily="2" charset="0"/>
              <a:ea typeface="Calibri"/>
              <a:cs typeface="Calibri"/>
            </a:rPr>
            <a:pPr/>
            <a:t>8%</a:t>
          </a:fld>
          <a:endParaRPr lang="pt-AO" sz="1100">
            <a:solidFill>
              <a:schemeClr val="bg1"/>
            </a:solidFill>
            <a:latin typeface="Montserrat" panose="00000500000000000000" pitchFamily="2" charset="0"/>
          </a:endParaRPr>
        </a:p>
      </xdr:txBody>
    </xdr:sp>
    <xdr:clientData/>
  </xdr:oneCellAnchor>
  <xdr:oneCellAnchor>
    <xdr:from>
      <xdr:col>5</xdr:col>
      <xdr:colOff>183931</xdr:colOff>
      <xdr:row>5</xdr:row>
      <xdr:rowOff>65689</xdr:rowOff>
    </xdr:from>
    <xdr:ext cx="1008033" cy="311175"/>
    <xdr:sp macro="" textlink="'Análise do Zero'!R35">
      <xdr:nvSpPr>
        <xdr:cNvPr id="48" name="TextBox 47">
          <a:extLst>
            <a:ext uri="{FF2B5EF4-FFF2-40B4-BE49-F238E27FC236}">
              <a16:creationId xmlns:a16="http://schemas.microsoft.com/office/drawing/2014/main" id="{2300AC49-FC41-EC39-4A73-4D8B7017CA13}"/>
            </a:ext>
          </a:extLst>
        </xdr:cNvPr>
        <xdr:cNvSpPr txBox="1"/>
      </xdr:nvSpPr>
      <xdr:spPr>
        <a:xfrm>
          <a:off x="3238500" y="1018189"/>
          <a:ext cx="1008033" cy="311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6C8ED4C-F9A9-496F-9CCB-1DA22CEF7C5B}" type="TxLink">
            <a:rPr lang="en-US" sz="1400" b="1" i="0" u="none" strike="noStrike">
              <a:solidFill>
                <a:schemeClr val="bg1">
                  <a:lumMod val="85000"/>
                </a:schemeClr>
              </a:solidFill>
              <a:latin typeface="Montserrat" panose="00000500000000000000" pitchFamily="2" charset="0"/>
              <a:ea typeface="Calibri"/>
              <a:cs typeface="Calibri"/>
            </a:rPr>
            <a:pPr/>
            <a:t>R$ 2 550</a:t>
          </a:fld>
          <a:endParaRPr lang="pt-AO" sz="1400" b="1">
            <a:solidFill>
              <a:schemeClr val="bg1">
                <a:lumMod val="85000"/>
              </a:schemeClr>
            </a:solidFill>
            <a:latin typeface="Montserrat" panose="00000500000000000000" pitchFamily="2" charset="0"/>
          </a:endParaRPr>
        </a:p>
      </xdr:txBody>
    </xdr:sp>
    <xdr:clientData/>
  </xdr:oneCellAnchor>
  <xdr:oneCellAnchor>
    <xdr:from>
      <xdr:col>9</xdr:col>
      <xdr:colOff>584638</xdr:colOff>
      <xdr:row>5</xdr:row>
      <xdr:rowOff>65689</xdr:rowOff>
    </xdr:from>
    <xdr:ext cx="1196994" cy="311175"/>
    <xdr:sp macro="" textlink="'Análise do Zero'!R32">
      <xdr:nvSpPr>
        <xdr:cNvPr id="49" name="TextBox 48">
          <a:extLst>
            <a:ext uri="{FF2B5EF4-FFF2-40B4-BE49-F238E27FC236}">
              <a16:creationId xmlns:a16="http://schemas.microsoft.com/office/drawing/2014/main" id="{A91F9558-37E9-0F4A-32E1-54B22A4DEF8F}"/>
            </a:ext>
          </a:extLst>
        </xdr:cNvPr>
        <xdr:cNvSpPr txBox="1"/>
      </xdr:nvSpPr>
      <xdr:spPr>
        <a:xfrm>
          <a:off x="6082862" y="1018189"/>
          <a:ext cx="1196994" cy="311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B6ADA39-DB78-498E-AAF6-9ECB0C611C81}" type="TxLink">
            <a:rPr lang="en-US" sz="1400" b="1" i="0" u="none" strike="noStrike">
              <a:solidFill>
                <a:schemeClr val="bg1">
                  <a:lumMod val="85000"/>
                </a:schemeClr>
              </a:solidFill>
              <a:latin typeface="Montserrat" panose="00000500000000000000" pitchFamily="2" charset="0"/>
              <a:ea typeface="Calibri"/>
              <a:cs typeface="Calibri"/>
            </a:rPr>
            <a:pPr/>
            <a:t>R$ 8 069</a:t>
          </a:fld>
          <a:endParaRPr lang="pt-AO" sz="1400" b="1">
            <a:solidFill>
              <a:schemeClr val="bg1">
                <a:lumMod val="85000"/>
              </a:schemeClr>
            </a:solidFill>
            <a:latin typeface="Montserrat" panose="00000500000000000000" pitchFamily="2" charset="0"/>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0.2634</cdr:x>
      <cdr:y>0.38773</cdr:y>
    </cdr:from>
    <cdr:to>
      <cdr:x>0.78309</cdr:x>
      <cdr:y>0.5963</cdr:y>
    </cdr:to>
    <cdr:sp macro="" textlink="'Análise do Zero'!$K$35">
      <cdr:nvSpPr>
        <cdr:cNvPr id="2" name="TextBox 49">
          <a:extLst xmlns:a="http://schemas.openxmlformats.org/drawingml/2006/main">
            <a:ext uri="{FF2B5EF4-FFF2-40B4-BE49-F238E27FC236}">
              <a16:creationId xmlns:a16="http://schemas.microsoft.com/office/drawing/2014/main" id="{B8D3A6BB-B6FF-FD8A-70AE-FF4BB33D49F9}"/>
            </a:ext>
          </a:extLst>
        </cdr:cNvPr>
        <cdr:cNvSpPr txBox="1"/>
      </cdr:nvSpPr>
      <cdr:spPr>
        <a:xfrm xmlns:a="http://schemas.openxmlformats.org/drawingml/2006/main">
          <a:off x="235347" y="491332"/>
          <a:ext cx="464345" cy="26430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E84C4145-145C-49F8-B250-AB8C77787276}" type="TxLink">
            <a:rPr lang="en-US" sz="1100" b="0" i="0" u="none" strike="noStrike">
              <a:solidFill>
                <a:schemeClr val="bg1"/>
              </a:solidFill>
              <a:latin typeface="Montserrat" panose="00000500000000000000" pitchFamily="2" charset="0"/>
              <a:ea typeface="Calibri"/>
              <a:cs typeface="Calibri"/>
            </a:rPr>
            <a:pPr/>
            <a:t>5%</a:t>
          </a:fld>
          <a:endParaRPr lang="pt-AO" sz="1100">
            <a:solidFill>
              <a:schemeClr val="bg1"/>
            </a:solidFill>
            <a:latin typeface="Montserrat" panose="00000500000000000000" pitchFamily="2"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0.26244</cdr:x>
      <cdr:y>0.38303</cdr:y>
    </cdr:from>
    <cdr:to>
      <cdr:x>0.80739</cdr:x>
      <cdr:y>0.5916</cdr:y>
    </cdr:to>
    <cdr:sp macro="" textlink="'Análise do Zero'!$K$36">
      <cdr:nvSpPr>
        <cdr:cNvPr id="2" name="TextBox 49">
          <a:extLst xmlns:a="http://schemas.openxmlformats.org/drawingml/2006/main">
            <a:ext uri="{FF2B5EF4-FFF2-40B4-BE49-F238E27FC236}">
              <a16:creationId xmlns:a16="http://schemas.microsoft.com/office/drawing/2014/main" id="{B8D3A6BB-B6FF-FD8A-70AE-FF4BB33D49F9}"/>
            </a:ext>
          </a:extLst>
        </cdr:cNvPr>
        <cdr:cNvSpPr txBox="1"/>
      </cdr:nvSpPr>
      <cdr:spPr>
        <a:xfrm xmlns:a="http://schemas.openxmlformats.org/drawingml/2006/main">
          <a:off x="235586" y="485378"/>
          <a:ext cx="489179" cy="26430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DCBE15A7-3E22-4B45-9F00-A5B1AA2E7C79}" type="TxLink">
            <a:rPr lang="en-US" sz="1100" b="0" i="0" u="none" strike="noStrike">
              <a:solidFill>
                <a:schemeClr val="bg1"/>
              </a:solidFill>
              <a:latin typeface="Montserrat" panose="00000500000000000000" pitchFamily="2" charset="0"/>
              <a:ea typeface="Calibri"/>
              <a:cs typeface="Calibri"/>
            </a:rPr>
            <a:pPr/>
            <a:t>3%</a:t>
          </a:fld>
          <a:endParaRPr lang="pt-AO" sz="1100">
            <a:solidFill>
              <a:schemeClr val="bg1"/>
            </a:solidFill>
            <a:latin typeface="Montserrat" panose="00000500000000000000" pitchFamily="2"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0.30891</cdr:x>
      <cdr:y>0.38303</cdr:y>
    </cdr:from>
    <cdr:to>
      <cdr:x>0.74451</cdr:x>
      <cdr:y>0.5916</cdr:y>
    </cdr:to>
    <cdr:sp macro="" textlink="'Análise do Zero'!$K$34">
      <cdr:nvSpPr>
        <cdr:cNvPr id="2" name="TextBox 49">
          <a:extLst xmlns:a="http://schemas.openxmlformats.org/drawingml/2006/main">
            <a:ext uri="{FF2B5EF4-FFF2-40B4-BE49-F238E27FC236}">
              <a16:creationId xmlns:a16="http://schemas.microsoft.com/office/drawing/2014/main" id="{E7F11010-8A63-C05F-F89A-E155B7D8041E}"/>
            </a:ext>
          </a:extLst>
        </cdr:cNvPr>
        <cdr:cNvSpPr txBox="1"/>
      </cdr:nvSpPr>
      <cdr:spPr>
        <a:xfrm xmlns:a="http://schemas.openxmlformats.org/drawingml/2006/main">
          <a:off x="277019" y="485378"/>
          <a:ext cx="390627" cy="26430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ABA70934-91D5-4678-BD79-40B69E68034D}" type="TxLink">
            <a:rPr lang="en-US" sz="1100" b="0" i="0" u="none" strike="noStrike">
              <a:solidFill>
                <a:schemeClr val="bg1"/>
              </a:solidFill>
              <a:latin typeface="Montserrat" panose="00000500000000000000" pitchFamily="2" charset="0"/>
              <a:ea typeface="Calibri"/>
              <a:cs typeface="Calibri"/>
            </a:rPr>
            <a:pPr/>
            <a:t>9%</a:t>
          </a:fld>
          <a:endParaRPr lang="pt-AO" sz="1100">
            <a:solidFill>
              <a:schemeClr val="bg1"/>
            </a:solidFill>
            <a:latin typeface="Montserrat" panose="00000500000000000000" pitchFamily="2"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0.26908</cdr:x>
      <cdr:y>0.39243</cdr:y>
    </cdr:from>
    <cdr:to>
      <cdr:x>0.78689</cdr:x>
      <cdr:y>0.601</cdr:y>
    </cdr:to>
    <cdr:sp macro="" textlink="'Análise do Zero'!$K$33">
      <cdr:nvSpPr>
        <cdr:cNvPr id="2" name="TextBox 49">
          <a:extLst xmlns:a="http://schemas.openxmlformats.org/drawingml/2006/main">
            <a:ext uri="{FF2B5EF4-FFF2-40B4-BE49-F238E27FC236}">
              <a16:creationId xmlns:a16="http://schemas.microsoft.com/office/drawing/2014/main" id="{B8D3A6BB-B6FF-FD8A-70AE-FF4BB33D49F9}"/>
            </a:ext>
          </a:extLst>
        </cdr:cNvPr>
        <cdr:cNvSpPr txBox="1"/>
      </cdr:nvSpPr>
      <cdr:spPr>
        <a:xfrm xmlns:a="http://schemas.openxmlformats.org/drawingml/2006/main">
          <a:off x="241300" y="497284"/>
          <a:ext cx="464345" cy="26430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E5350A73-B0E4-4115-86E5-5E4BA65950C9}" type="TxLink">
            <a:rPr lang="en-US" sz="1100" b="0" i="0" u="none" strike="noStrike">
              <a:solidFill>
                <a:schemeClr val="bg1"/>
              </a:solidFill>
              <a:latin typeface="Montserrat" panose="00000500000000000000" pitchFamily="2" charset="0"/>
              <a:ea typeface="Calibri"/>
              <a:cs typeface="Calibri"/>
            </a:rPr>
            <a:pPr/>
            <a:t>12%</a:t>
          </a:fld>
          <a:endParaRPr lang="pt-AO" sz="1100">
            <a:solidFill>
              <a:schemeClr val="bg1"/>
            </a:solidFill>
            <a:latin typeface="Montserrat" panose="00000500000000000000" pitchFamily="2"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0.29671</cdr:x>
      <cdr:y>0.38773</cdr:y>
    </cdr:from>
    <cdr:to>
      <cdr:x>0.84415</cdr:x>
      <cdr:y>0.5963</cdr:y>
    </cdr:to>
    <cdr:sp macro="" textlink="'Análise do Zero'!$K$31">
      <cdr:nvSpPr>
        <cdr:cNvPr id="2" name="TextBox 49">
          <a:extLst xmlns:a="http://schemas.openxmlformats.org/drawingml/2006/main">
            <a:ext uri="{FF2B5EF4-FFF2-40B4-BE49-F238E27FC236}">
              <a16:creationId xmlns:a16="http://schemas.microsoft.com/office/drawing/2014/main" id="{B8D3A6BB-B6FF-FD8A-70AE-FF4BB33D49F9}"/>
            </a:ext>
          </a:extLst>
        </cdr:cNvPr>
        <cdr:cNvSpPr txBox="1"/>
      </cdr:nvSpPr>
      <cdr:spPr>
        <a:xfrm xmlns:a="http://schemas.openxmlformats.org/drawingml/2006/main">
          <a:off x="265657" y="491331"/>
          <a:ext cx="490145" cy="26430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05A7E326-63F8-4A4B-B6CF-126E80352E66}" type="TxLink">
            <a:rPr lang="en-US" sz="1100" b="0" i="0" u="none" strike="noStrike">
              <a:solidFill>
                <a:schemeClr val="bg1"/>
              </a:solidFill>
              <a:latin typeface="Montserrat" panose="00000500000000000000" pitchFamily="2" charset="0"/>
              <a:ea typeface="Calibri"/>
              <a:cs typeface="Calibri"/>
            </a:rPr>
            <a:pPr/>
            <a:t>0%</a:t>
          </a:fld>
          <a:endParaRPr lang="pt-AO" sz="1100">
            <a:solidFill>
              <a:schemeClr val="bg1"/>
            </a:solidFill>
            <a:latin typeface="Montserrat" panose="00000500000000000000" pitchFamily="2"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onildo" refreshedDate="45999.918676620371" createdVersion="8" refreshedVersion="8" minRefreshableVersion="3" recordCount="636" xr:uid="{F8F26C2D-F745-4C3D-B061-3669BC01E1B6}">
  <cacheSource type="worksheet">
    <worksheetSource ref="A1:K637" sheet="Base"/>
  </cacheSource>
  <cacheFields count="12">
    <cacheField name="Data" numFmtId="0">
      <sharedItems/>
    </cacheField>
    <cacheField name="Ano" numFmtId="0">
      <sharedItems containsSemiMixedTypes="0" containsString="0" containsNumber="1" containsInteger="1" minValue="2023" maxValue="2025" count="3">
        <n v="2023"/>
        <n v="2024"/>
        <n v="2025"/>
      </sharedItems>
    </cacheField>
    <cacheField name="Mês" numFmtId="0">
      <sharedItems count="12">
        <s v="jan"/>
        <s v="fev"/>
        <s v="mar"/>
        <s v="abr"/>
        <s v="mai"/>
        <s v="jun"/>
        <s v="jul"/>
        <s v="ago"/>
        <s v="set"/>
        <s v="out"/>
        <s v="nov"/>
        <s v="dez"/>
      </sharedItems>
    </cacheField>
    <cacheField name="Mês_extenso" numFmtId="0">
      <sharedItems count="12">
        <s v="Janeiro"/>
        <s v="Fevereiro"/>
        <s v="Março"/>
        <s v="Abril"/>
        <s v="Maio"/>
        <s v="Junho"/>
        <s v="Julho"/>
        <s v="Agosto"/>
        <s v="Setembro"/>
        <s v="Outubro"/>
        <s v="Novembro"/>
        <s v="Dezembro"/>
      </sharedItems>
    </cacheField>
    <cacheField name="Dia" numFmtId="0">
      <sharedItems containsSemiMixedTypes="0" containsString="0" containsNumber="1" containsInteger="1" minValue="1" maxValue="28" count="28">
        <n v="1"/>
        <n v="2"/>
        <n v="4"/>
        <n v="5"/>
        <n v="9"/>
        <n v="11"/>
        <n v="13"/>
        <n v="14"/>
        <n v="16"/>
        <n v="19"/>
        <n v="20"/>
        <n v="24"/>
        <n v="26"/>
        <n v="27"/>
        <n v="3"/>
        <n v="7"/>
        <n v="8"/>
        <n v="10"/>
        <n v="12"/>
        <n v="21"/>
        <n v="22"/>
        <n v="28"/>
        <n v="6"/>
        <n v="17"/>
        <n v="18"/>
        <n v="15"/>
        <n v="23"/>
        <n v="25"/>
      </sharedItems>
    </cacheField>
    <cacheField name="Tipo" numFmtId="0">
      <sharedItems count="2">
        <s v="Receita"/>
        <s v="Despesa"/>
      </sharedItems>
    </cacheField>
    <cacheField name="Categoria" numFmtId="0">
      <sharedItems count="11">
        <s v="Salário"/>
        <s v="Renda extra"/>
        <s v="Moradia"/>
        <s v="Transporte"/>
        <s v="Retirada de aplicações"/>
        <s v="Renda passiva"/>
        <s v="Vestuário"/>
        <s v="Saúde"/>
        <s v="Subsistência"/>
        <s v="Lazer"/>
        <s v="Presentes" u="1"/>
      </sharedItems>
    </cacheField>
    <cacheField name="Categoria_receita" numFmtId="0">
      <sharedItems count="3">
        <s v="Salário"/>
        <s v="Outras Receitas"/>
        <s v=""/>
      </sharedItems>
    </cacheField>
    <cacheField name="Descrição" numFmtId="0">
      <sharedItems count="34">
        <s v="Salário mensal"/>
        <s v="Freelas e comissões"/>
        <s v="Água"/>
        <s v="Gás"/>
        <s v="Aluguel"/>
        <s v="Manutenção do carro"/>
        <s v="Resgate mensal"/>
        <s v="Juros/dividendos"/>
        <s v="Energia"/>
        <s v="Roupas"/>
        <s v="Internet"/>
        <s v="Exames médicos"/>
        <s v="Hortifruti"/>
        <s v="Mercado"/>
        <s v="Condomínio"/>
        <s v="Acessórios"/>
        <s v="Seguro de carro"/>
        <s v="Iptu"/>
        <s v="Gasolina"/>
        <s v="Cinema"/>
        <s v="Plano de saúde"/>
        <s v="Restaurante"/>
        <s v="Passagem de ônibus"/>
        <s v="Manutenção residencial"/>
        <s v="Consulta particular"/>
        <s v="Uber/táxi"/>
        <s v="Show"/>
        <s v="Açougue"/>
        <s v="Pedágios"/>
        <s v="Padaria"/>
        <s v="Calçados"/>
        <s v="Streaming"/>
        <s v="Viagem"/>
        <s v="Estacionamento"/>
      </sharedItems>
    </cacheField>
    <cacheField name="Valor" numFmtId="164">
      <sharedItems containsSemiMixedTypes="0" containsString="0" containsNumber="1" containsInteger="1" minValue="65" maxValue="7264" count="457">
        <n v="7084"/>
        <n v="1163"/>
        <n v="143"/>
        <n v="2000"/>
        <n v="269"/>
        <n v="1416"/>
        <n v="364"/>
        <n v="321"/>
        <n v="1190"/>
        <n v="818"/>
        <n v="266"/>
        <n v="334"/>
        <n v="1056"/>
        <n v="879"/>
        <n v="800"/>
        <n v="606"/>
        <n v="217"/>
        <n v="254"/>
        <n v="546"/>
        <n v="526"/>
        <n v="752"/>
        <n v="7089"/>
        <n v="243"/>
        <n v="1268"/>
        <n v="523"/>
        <n v="758"/>
        <n v="355"/>
        <n v="207"/>
        <n v="283"/>
        <n v="867"/>
        <n v="569"/>
        <n v="1900"/>
        <n v="197"/>
        <n v="155"/>
        <n v="6917"/>
        <n v="989"/>
        <n v="349"/>
        <n v="550"/>
        <n v="221"/>
        <n v="725"/>
        <n v="1643"/>
        <n v="934"/>
        <n v="145"/>
        <n v="251"/>
        <n v="723"/>
        <n v="296"/>
        <n v="529"/>
        <n v="1298"/>
        <n v="236"/>
        <n v="226"/>
        <n v="1085"/>
        <n v="196"/>
        <n v="7190"/>
        <n v="198"/>
        <n v="1054"/>
        <n v="402"/>
        <n v="255"/>
        <n v="363"/>
        <n v="907"/>
        <n v="199"/>
        <n v="1372"/>
        <n v="1425"/>
        <n v="693"/>
        <n v="173"/>
        <n v="300"/>
        <n v="153"/>
        <n v="314"/>
        <n v="1690"/>
        <n v="7229"/>
        <n v="858"/>
        <n v="665"/>
        <n v="544"/>
        <n v="790"/>
        <n v="461"/>
        <n v="651"/>
        <n v="303"/>
        <n v="1568"/>
        <n v="262"/>
        <n v="174"/>
        <n v="115"/>
        <n v="294"/>
        <n v="967"/>
        <n v="7241"/>
        <n v="449"/>
        <n v="333"/>
        <n v="1376"/>
        <n v="945"/>
        <n v="311"/>
        <n v="241"/>
        <n v="149"/>
        <n v="639"/>
        <n v="305"/>
        <n v="219"/>
        <n v="200"/>
        <n v="918"/>
        <n v="415"/>
        <n v="888"/>
        <n v="7261"/>
        <n v="753"/>
        <n v="239"/>
        <n v="389"/>
        <n v="1971"/>
        <n v="1103"/>
        <n v="335"/>
        <n v="382"/>
        <n v="568"/>
        <n v="235"/>
        <n v="168"/>
        <n v="846"/>
        <n v="476"/>
        <n v="410"/>
        <n v="279"/>
        <n v="7081"/>
        <n v="904"/>
        <n v="288"/>
        <n v="936"/>
        <n v="641"/>
        <n v="148"/>
        <n v="1635"/>
        <n v="242"/>
        <n v="281"/>
        <n v="330"/>
        <n v="1128"/>
        <n v="378"/>
        <n v="892"/>
        <n v="577"/>
        <n v="160"/>
        <n v="7223"/>
        <n v="329"/>
        <n v="668"/>
        <n v="206"/>
        <n v="1018"/>
        <n v="987"/>
        <n v="1098"/>
        <n v="128"/>
        <n v="805"/>
        <n v="1055"/>
        <n v="304"/>
        <n v="261"/>
        <n v="315"/>
        <n v="1124"/>
        <n v="705"/>
        <n v="6896"/>
        <n v="129"/>
        <n v="248"/>
        <n v="561"/>
        <n v="442"/>
        <n v="1159"/>
        <n v="186"/>
        <n v="1076"/>
        <n v="1205"/>
        <n v="1009"/>
        <n v="230"/>
        <n v="7045"/>
        <n v="454"/>
        <n v="768"/>
        <n v="392"/>
        <n v="141"/>
        <n v="1386"/>
        <n v="1004"/>
        <n v="237"/>
        <n v="6985"/>
        <n v="361"/>
        <n v="423"/>
        <n v="901"/>
        <n v="729"/>
        <n v="301"/>
        <n v="127"/>
        <n v="1106"/>
        <n v="222"/>
        <n v="260"/>
        <n v="896"/>
        <n v="1162"/>
        <n v="576"/>
        <n v="6864"/>
        <n v="1023"/>
        <n v="412"/>
        <n v="218"/>
        <n v="923"/>
        <n v="961"/>
        <n v="252"/>
        <n v="422"/>
        <n v="655"/>
        <n v="659"/>
        <n v="114"/>
        <n v="101"/>
        <n v="309"/>
        <n v="840"/>
        <n v="142"/>
        <n v="177"/>
        <n v="6854"/>
        <n v="975"/>
        <n v="144"/>
        <n v="943"/>
        <n v="247"/>
        <n v="276"/>
        <n v="1151"/>
        <n v="350"/>
        <n v="560"/>
        <n v="664"/>
        <n v="224"/>
        <n v="536"/>
        <n v="920"/>
        <n v="6961"/>
        <n v="1198"/>
        <n v="448"/>
        <n v="244"/>
        <n v="159"/>
        <n v="250"/>
        <n v="209"/>
        <n v="959"/>
        <n v="331"/>
        <n v="815"/>
        <n v="632"/>
        <n v="388"/>
        <n v="683"/>
        <n v="1668"/>
        <n v="977"/>
        <n v="6906"/>
        <n v="1231"/>
        <n v="356"/>
        <n v="601"/>
        <n v="833"/>
        <n v="430"/>
        <n v="1021"/>
        <n v="165"/>
        <n v="658"/>
        <n v="88"/>
        <n v="1727"/>
        <n v="703"/>
        <n v="6964"/>
        <n v="187"/>
        <n v="873"/>
        <n v="157"/>
        <n v="890"/>
        <n v="537"/>
        <n v="691"/>
        <n v="240"/>
        <n v="65"/>
        <n v="741"/>
        <n v="234"/>
        <n v="307"/>
        <n v="263"/>
        <n v="7056"/>
        <n v="345"/>
        <n v="956"/>
        <n v="385"/>
        <n v="397"/>
        <n v="666"/>
        <n v="784"/>
        <n v="1084"/>
        <n v="949"/>
        <n v="376"/>
        <n v="650"/>
        <n v="7141"/>
        <n v="1035"/>
        <n v="441"/>
        <n v="925"/>
        <n v="213"/>
        <n v="135"/>
        <n v="232"/>
        <n v="310"/>
        <n v="1112"/>
        <n v="1478"/>
        <n v="122"/>
        <n v="297"/>
        <n v="699"/>
        <n v="880"/>
        <n v="1113"/>
        <n v="6948"/>
        <n v="1661"/>
        <n v="354"/>
        <n v="707"/>
        <n v="970"/>
        <n v="161"/>
        <n v="657"/>
        <n v="421"/>
        <n v="1160"/>
        <n v="6974"/>
        <n v="245"/>
        <n v="1074"/>
        <n v="1385"/>
        <n v="556"/>
        <n v="1286"/>
        <n v="403"/>
        <n v="462"/>
        <n v="751"/>
        <n v="400"/>
        <n v="850"/>
        <n v="91"/>
        <n v="212"/>
        <n v="6903"/>
        <n v="408"/>
        <n v="359"/>
        <n v="191"/>
        <n v="794"/>
        <n v="767"/>
        <n v="868"/>
        <n v="843"/>
        <n v="291"/>
        <n v="1332"/>
        <n v="1414"/>
        <n v="318"/>
        <n v="492"/>
        <n v="7050"/>
        <n v="1008"/>
        <n v="137"/>
        <n v="607"/>
        <n v="1544"/>
        <n v="1176"/>
        <n v="748"/>
        <n v="216"/>
        <n v="203"/>
        <n v="508"/>
        <n v="258"/>
        <n v="380"/>
        <n v="692"/>
        <n v="104"/>
        <n v="1077"/>
        <n v="7048"/>
        <n v="401"/>
        <n v="809"/>
        <n v="231"/>
        <n v="819"/>
        <n v="743"/>
        <n v="326"/>
        <n v="596"/>
        <n v="1357"/>
        <n v="869"/>
        <n v="184"/>
        <n v="7264"/>
        <n v="256"/>
        <n v="1982"/>
        <n v="940"/>
        <n v="491"/>
        <n v="1373"/>
        <n v="119"/>
        <n v="409"/>
        <n v="649"/>
        <n v="971"/>
        <n v="282"/>
        <n v="229"/>
        <n v="7263"/>
        <n v="308"/>
        <n v="417"/>
        <n v="1030"/>
        <n v="1195"/>
        <n v="667"/>
        <n v="783"/>
        <n v="293"/>
        <n v="714"/>
        <n v="274"/>
        <n v="439"/>
        <n v="1075"/>
        <n v="6715"/>
        <n v="1333"/>
        <n v="732"/>
        <n v="367"/>
        <n v="391"/>
        <n v="984"/>
        <n v="779"/>
        <n v="1146"/>
        <n v="332"/>
        <n v="1095"/>
        <n v="457"/>
        <n v="933"/>
        <n v="1064"/>
        <n v="653"/>
        <n v="708"/>
        <n v="169"/>
        <n v="849"/>
        <n v="878"/>
        <n v="116"/>
        <n v="938"/>
        <n v="594"/>
        <n v="630"/>
        <n v="1528"/>
        <n v="7086"/>
        <n v="1847"/>
        <n v="233"/>
        <n v="734"/>
        <n v="903"/>
        <n v="839"/>
        <n v="411"/>
        <n v="965"/>
        <n v="395"/>
        <n v="674"/>
        <n v="163"/>
        <n v="501"/>
        <n v="6727"/>
        <n v="253"/>
        <n v="136"/>
        <n v="133"/>
        <n v="581"/>
        <n v="1827"/>
        <n v="1283"/>
        <n v="6976"/>
        <n v="473"/>
        <n v="464"/>
        <n v="131"/>
        <n v="924"/>
        <n v="271"/>
        <n v="979"/>
        <n v="1341"/>
        <n v="679"/>
        <n v="7079"/>
        <n v="413"/>
        <n v="140"/>
        <n v="368"/>
        <n v="434"/>
        <n v="851"/>
        <n v="1133"/>
        <n v="1036"/>
        <n v="278"/>
        <n v="897"/>
        <n v="167"/>
        <n v="733"/>
        <n v="223"/>
        <n v="6749"/>
        <n v="643"/>
        <n v="328"/>
        <n v="1212"/>
        <n v="426"/>
        <n v="889"/>
        <n v="871"/>
        <n v="399"/>
        <n v="7106"/>
        <n v="519"/>
        <n v="775"/>
        <n v="1509"/>
        <n v="1079"/>
        <n v="828"/>
        <n v="704"/>
        <n v="980"/>
        <n v="225"/>
        <n v="375"/>
        <n v="123"/>
        <n v="514"/>
        <n v="6723"/>
        <n v="663"/>
        <n v="1252"/>
        <n v="384"/>
        <n v="201"/>
        <n v="552"/>
        <n v="766"/>
        <n v="543"/>
        <n v="1260"/>
        <n v="675"/>
        <n v="1567"/>
        <n v="6950"/>
        <n v="518"/>
        <n v="1236"/>
        <n v="366"/>
        <n v="912"/>
        <n v="228"/>
        <n v="1968"/>
        <n v="490"/>
      </sharedItems>
    </cacheField>
    <cacheField name="Saldo" numFmtId="164">
      <sharedItems containsSemiMixedTypes="0" containsString="0" containsNumber="1" containsInteger="1" minValue="-1247" maxValue="20505"/>
    </cacheField>
    <cacheField name="valmax" numFmtId="0" formula="MAX(Valor)*120%" databaseField="0"/>
  </cacheFields>
  <extLst>
    <ext xmlns:x14="http://schemas.microsoft.com/office/spreadsheetml/2009/9/main" uri="{725AE2AE-9491-48be-B2B4-4EB974FC3084}">
      <x14:pivotCacheDefinition pivotCacheId="1643761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6">
  <r>
    <s v="01/01/2023"/>
    <x v="0"/>
    <x v="0"/>
    <x v="0"/>
    <x v="0"/>
    <x v="0"/>
    <x v="0"/>
    <x v="0"/>
    <x v="0"/>
    <x v="0"/>
    <n v="7084"/>
  </r>
  <r>
    <s v="02/01/2023"/>
    <x v="0"/>
    <x v="0"/>
    <x v="0"/>
    <x v="1"/>
    <x v="0"/>
    <x v="1"/>
    <x v="1"/>
    <x v="1"/>
    <x v="1"/>
    <n v="8247"/>
  </r>
  <r>
    <s v="02/01/2023"/>
    <x v="0"/>
    <x v="0"/>
    <x v="0"/>
    <x v="1"/>
    <x v="1"/>
    <x v="2"/>
    <x v="2"/>
    <x v="2"/>
    <x v="2"/>
    <n v="8104"/>
  </r>
  <r>
    <s v="02/01/2023"/>
    <x v="0"/>
    <x v="0"/>
    <x v="0"/>
    <x v="1"/>
    <x v="1"/>
    <x v="2"/>
    <x v="2"/>
    <x v="3"/>
    <x v="2"/>
    <n v="7961"/>
  </r>
  <r>
    <s v="04/01/2023"/>
    <x v="0"/>
    <x v="0"/>
    <x v="0"/>
    <x v="2"/>
    <x v="1"/>
    <x v="2"/>
    <x v="2"/>
    <x v="4"/>
    <x v="3"/>
    <n v="5961"/>
  </r>
  <r>
    <s v="04/01/2023"/>
    <x v="0"/>
    <x v="0"/>
    <x v="0"/>
    <x v="2"/>
    <x v="1"/>
    <x v="3"/>
    <x v="2"/>
    <x v="5"/>
    <x v="4"/>
    <n v="5692"/>
  </r>
  <r>
    <s v="05/01/2023"/>
    <x v="0"/>
    <x v="0"/>
    <x v="0"/>
    <x v="3"/>
    <x v="0"/>
    <x v="4"/>
    <x v="1"/>
    <x v="6"/>
    <x v="5"/>
    <n v="7108"/>
  </r>
  <r>
    <s v="09/01/2023"/>
    <x v="0"/>
    <x v="0"/>
    <x v="0"/>
    <x v="4"/>
    <x v="0"/>
    <x v="5"/>
    <x v="1"/>
    <x v="7"/>
    <x v="6"/>
    <n v="7472"/>
  </r>
  <r>
    <s v="09/01/2023"/>
    <x v="0"/>
    <x v="0"/>
    <x v="0"/>
    <x v="4"/>
    <x v="1"/>
    <x v="2"/>
    <x v="2"/>
    <x v="8"/>
    <x v="7"/>
    <n v="7151"/>
  </r>
  <r>
    <s v="11/01/2023"/>
    <x v="0"/>
    <x v="0"/>
    <x v="0"/>
    <x v="5"/>
    <x v="1"/>
    <x v="6"/>
    <x v="2"/>
    <x v="9"/>
    <x v="8"/>
    <n v="5961"/>
  </r>
  <r>
    <s v="13/01/2023"/>
    <x v="0"/>
    <x v="0"/>
    <x v="0"/>
    <x v="6"/>
    <x v="1"/>
    <x v="2"/>
    <x v="2"/>
    <x v="10"/>
    <x v="9"/>
    <n v="5143"/>
  </r>
  <r>
    <s v="14/01/2023"/>
    <x v="0"/>
    <x v="0"/>
    <x v="0"/>
    <x v="7"/>
    <x v="1"/>
    <x v="7"/>
    <x v="2"/>
    <x v="11"/>
    <x v="10"/>
    <n v="4877"/>
  </r>
  <r>
    <s v="16/01/2023"/>
    <x v="0"/>
    <x v="0"/>
    <x v="0"/>
    <x v="8"/>
    <x v="1"/>
    <x v="8"/>
    <x v="2"/>
    <x v="12"/>
    <x v="11"/>
    <n v="4543"/>
  </r>
  <r>
    <s v="19/01/2023"/>
    <x v="0"/>
    <x v="0"/>
    <x v="0"/>
    <x v="9"/>
    <x v="1"/>
    <x v="8"/>
    <x v="2"/>
    <x v="13"/>
    <x v="12"/>
    <n v="3487"/>
  </r>
  <r>
    <s v="20/01/2023"/>
    <x v="0"/>
    <x v="0"/>
    <x v="0"/>
    <x v="10"/>
    <x v="1"/>
    <x v="2"/>
    <x v="2"/>
    <x v="14"/>
    <x v="13"/>
    <n v="2608"/>
  </r>
  <r>
    <s v="20/01/2023"/>
    <x v="0"/>
    <x v="0"/>
    <x v="0"/>
    <x v="10"/>
    <x v="1"/>
    <x v="6"/>
    <x v="2"/>
    <x v="15"/>
    <x v="14"/>
    <n v="1808"/>
  </r>
  <r>
    <s v="24/01/2023"/>
    <x v="0"/>
    <x v="0"/>
    <x v="0"/>
    <x v="11"/>
    <x v="1"/>
    <x v="2"/>
    <x v="2"/>
    <x v="10"/>
    <x v="15"/>
    <n v="1202"/>
  </r>
  <r>
    <s v="24/01/2023"/>
    <x v="0"/>
    <x v="0"/>
    <x v="0"/>
    <x v="11"/>
    <x v="1"/>
    <x v="3"/>
    <x v="2"/>
    <x v="16"/>
    <x v="16"/>
    <n v="985"/>
  </r>
  <r>
    <s v="24/01/2023"/>
    <x v="0"/>
    <x v="0"/>
    <x v="0"/>
    <x v="11"/>
    <x v="1"/>
    <x v="2"/>
    <x v="2"/>
    <x v="17"/>
    <x v="17"/>
    <n v="731"/>
  </r>
  <r>
    <s v="26/01/2023"/>
    <x v="0"/>
    <x v="0"/>
    <x v="0"/>
    <x v="12"/>
    <x v="1"/>
    <x v="3"/>
    <x v="2"/>
    <x v="18"/>
    <x v="18"/>
    <n v="185"/>
  </r>
  <r>
    <s v="26/01/2023"/>
    <x v="0"/>
    <x v="0"/>
    <x v="0"/>
    <x v="12"/>
    <x v="1"/>
    <x v="9"/>
    <x v="2"/>
    <x v="19"/>
    <x v="19"/>
    <n v="-341"/>
  </r>
  <r>
    <s v="27/01/2023"/>
    <x v="0"/>
    <x v="0"/>
    <x v="0"/>
    <x v="13"/>
    <x v="1"/>
    <x v="7"/>
    <x v="2"/>
    <x v="20"/>
    <x v="20"/>
    <n v="-1093"/>
  </r>
  <r>
    <s v="01/02/2023"/>
    <x v="0"/>
    <x v="1"/>
    <x v="1"/>
    <x v="0"/>
    <x v="0"/>
    <x v="0"/>
    <x v="0"/>
    <x v="0"/>
    <x v="21"/>
    <n v="5996"/>
  </r>
  <r>
    <s v="03/02/2023"/>
    <x v="0"/>
    <x v="1"/>
    <x v="1"/>
    <x v="14"/>
    <x v="1"/>
    <x v="2"/>
    <x v="2"/>
    <x v="17"/>
    <x v="22"/>
    <n v="5753"/>
  </r>
  <r>
    <s v="03/02/2023"/>
    <x v="0"/>
    <x v="1"/>
    <x v="1"/>
    <x v="14"/>
    <x v="1"/>
    <x v="8"/>
    <x v="2"/>
    <x v="13"/>
    <x v="23"/>
    <n v="4485"/>
  </r>
  <r>
    <s v="07/02/2023"/>
    <x v="0"/>
    <x v="1"/>
    <x v="1"/>
    <x v="15"/>
    <x v="0"/>
    <x v="5"/>
    <x v="1"/>
    <x v="7"/>
    <x v="24"/>
    <n v="5008"/>
  </r>
  <r>
    <s v="07/02/2023"/>
    <x v="0"/>
    <x v="1"/>
    <x v="1"/>
    <x v="15"/>
    <x v="1"/>
    <x v="2"/>
    <x v="2"/>
    <x v="4"/>
    <x v="3"/>
    <n v="3008"/>
  </r>
  <r>
    <s v="08/02/2023"/>
    <x v="0"/>
    <x v="1"/>
    <x v="1"/>
    <x v="16"/>
    <x v="1"/>
    <x v="7"/>
    <x v="2"/>
    <x v="20"/>
    <x v="25"/>
    <n v="2250"/>
  </r>
  <r>
    <s v="09/02/2023"/>
    <x v="0"/>
    <x v="1"/>
    <x v="1"/>
    <x v="4"/>
    <x v="1"/>
    <x v="2"/>
    <x v="2"/>
    <x v="8"/>
    <x v="26"/>
    <n v="1895"/>
  </r>
  <r>
    <s v="10/02/2023"/>
    <x v="0"/>
    <x v="1"/>
    <x v="1"/>
    <x v="17"/>
    <x v="1"/>
    <x v="9"/>
    <x v="2"/>
    <x v="21"/>
    <x v="1"/>
    <n v="732"/>
  </r>
  <r>
    <s v="12/02/2023"/>
    <x v="0"/>
    <x v="1"/>
    <x v="1"/>
    <x v="18"/>
    <x v="1"/>
    <x v="3"/>
    <x v="2"/>
    <x v="16"/>
    <x v="27"/>
    <n v="525"/>
  </r>
  <r>
    <s v="14/02/2023"/>
    <x v="0"/>
    <x v="1"/>
    <x v="1"/>
    <x v="7"/>
    <x v="1"/>
    <x v="8"/>
    <x v="2"/>
    <x v="12"/>
    <x v="28"/>
    <n v="242"/>
  </r>
  <r>
    <s v="16/02/2023"/>
    <x v="0"/>
    <x v="1"/>
    <x v="1"/>
    <x v="8"/>
    <x v="1"/>
    <x v="2"/>
    <x v="2"/>
    <x v="14"/>
    <x v="29"/>
    <n v="-625"/>
  </r>
  <r>
    <s v="20/02/2023"/>
    <x v="0"/>
    <x v="1"/>
    <x v="1"/>
    <x v="10"/>
    <x v="1"/>
    <x v="3"/>
    <x v="2"/>
    <x v="18"/>
    <x v="30"/>
    <n v="-1194"/>
  </r>
  <r>
    <s v="21/02/2023"/>
    <x v="0"/>
    <x v="1"/>
    <x v="1"/>
    <x v="19"/>
    <x v="0"/>
    <x v="1"/>
    <x v="1"/>
    <x v="1"/>
    <x v="31"/>
    <n v="706"/>
  </r>
  <r>
    <s v="22/02/2023"/>
    <x v="0"/>
    <x v="1"/>
    <x v="1"/>
    <x v="20"/>
    <x v="1"/>
    <x v="2"/>
    <x v="2"/>
    <x v="2"/>
    <x v="32"/>
    <n v="509"/>
  </r>
  <r>
    <s v="28/02/2023"/>
    <x v="0"/>
    <x v="1"/>
    <x v="1"/>
    <x v="21"/>
    <x v="1"/>
    <x v="2"/>
    <x v="2"/>
    <x v="3"/>
    <x v="33"/>
    <n v="354"/>
  </r>
  <r>
    <s v="01/03/2023"/>
    <x v="0"/>
    <x v="2"/>
    <x v="2"/>
    <x v="0"/>
    <x v="0"/>
    <x v="0"/>
    <x v="0"/>
    <x v="0"/>
    <x v="34"/>
    <n v="7271"/>
  </r>
  <r>
    <s v="02/03/2023"/>
    <x v="0"/>
    <x v="2"/>
    <x v="2"/>
    <x v="1"/>
    <x v="1"/>
    <x v="3"/>
    <x v="2"/>
    <x v="22"/>
    <x v="35"/>
    <n v="6282"/>
  </r>
  <r>
    <s v="02/03/2023"/>
    <x v="0"/>
    <x v="2"/>
    <x v="2"/>
    <x v="1"/>
    <x v="1"/>
    <x v="8"/>
    <x v="2"/>
    <x v="12"/>
    <x v="36"/>
    <n v="5933"/>
  </r>
  <r>
    <s v="03/03/2023"/>
    <x v="0"/>
    <x v="2"/>
    <x v="2"/>
    <x v="14"/>
    <x v="1"/>
    <x v="2"/>
    <x v="2"/>
    <x v="23"/>
    <x v="37"/>
    <n v="5383"/>
  </r>
  <r>
    <s v="04/03/2023"/>
    <x v="0"/>
    <x v="2"/>
    <x v="2"/>
    <x v="2"/>
    <x v="1"/>
    <x v="2"/>
    <x v="2"/>
    <x v="10"/>
    <x v="38"/>
    <n v="5162"/>
  </r>
  <r>
    <s v="05/03/2023"/>
    <x v="0"/>
    <x v="2"/>
    <x v="2"/>
    <x v="3"/>
    <x v="1"/>
    <x v="2"/>
    <x v="2"/>
    <x v="4"/>
    <x v="3"/>
    <n v="3162"/>
  </r>
  <r>
    <s v="05/03/2023"/>
    <x v="0"/>
    <x v="2"/>
    <x v="2"/>
    <x v="3"/>
    <x v="1"/>
    <x v="7"/>
    <x v="2"/>
    <x v="20"/>
    <x v="39"/>
    <n v="2437"/>
  </r>
  <r>
    <s v="06/03/2023"/>
    <x v="0"/>
    <x v="2"/>
    <x v="2"/>
    <x v="22"/>
    <x v="0"/>
    <x v="1"/>
    <x v="1"/>
    <x v="1"/>
    <x v="40"/>
    <n v="4080"/>
  </r>
  <r>
    <s v="06/03/2023"/>
    <x v="0"/>
    <x v="2"/>
    <x v="2"/>
    <x v="22"/>
    <x v="1"/>
    <x v="2"/>
    <x v="2"/>
    <x v="14"/>
    <x v="41"/>
    <n v="3146"/>
  </r>
  <r>
    <s v="14/03/2023"/>
    <x v="0"/>
    <x v="2"/>
    <x v="2"/>
    <x v="7"/>
    <x v="1"/>
    <x v="2"/>
    <x v="2"/>
    <x v="3"/>
    <x v="42"/>
    <n v="3001"/>
  </r>
  <r>
    <s v="16/03/2023"/>
    <x v="0"/>
    <x v="2"/>
    <x v="2"/>
    <x v="8"/>
    <x v="1"/>
    <x v="2"/>
    <x v="2"/>
    <x v="17"/>
    <x v="43"/>
    <n v="2750"/>
  </r>
  <r>
    <s v="17/03/2023"/>
    <x v="0"/>
    <x v="2"/>
    <x v="2"/>
    <x v="23"/>
    <x v="1"/>
    <x v="7"/>
    <x v="2"/>
    <x v="11"/>
    <x v="44"/>
    <n v="2027"/>
  </r>
  <r>
    <s v="17/03/2023"/>
    <x v="0"/>
    <x v="2"/>
    <x v="2"/>
    <x v="23"/>
    <x v="0"/>
    <x v="5"/>
    <x v="1"/>
    <x v="7"/>
    <x v="45"/>
    <n v="2323"/>
  </r>
  <r>
    <s v="19/03/2023"/>
    <x v="0"/>
    <x v="2"/>
    <x v="2"/>
    <x v="9"/>
    <x v="1"/>
    <x v="3"/>
    <x v="2"/>
    <x v="18"/>
    <x v="46"/>
    <n v="1794"/>
  </r>
  <r>
    <s v="19/03/2023"/>
    <x v="0"/>
    <x v="2"/>
    <x v="2"/>
    <x v="9"/>
    <x v="1"/>
    <x v="8"/>
    <x v="2"/>
    <x v="13"/>
    <x v="47"/>
    <n v="496"/>
  </r>
  <r>
    <s v="21/03/2023"/>
    <x v="0"/>
    <x v="2"/>
    <x v="2"/>
    <x v="19"/>
    <x v="1"/>
    <x v="2"/>
    <x v="2"/>
    <x v="8"/>
    <x v="48"/>
    <n v="260"/>
  </r>
  <r>
    <s v="26/03/2023"/>
    <x v="0"/>
    <x v="2"/>
    <x v="2"/>
    <x v="12"/>
    <x v="1"/>
    <x v="3"/>
    <x v="2"/>
    <x v="16"/>
    <x v="49"/>
    <n v="34"/>
  </r>
  <r>
    <s v="26/03/2023"/>
    <x v="0"/>
    <x v="2"/>
    <x v="2"/>
    <x v="12"/>
    <x v="1"/>
    <x v="3"/>
    <x v="2"/>
    <x v="5"/>
    <x v="50"/>
    <n v="-1051"/>
  </r>
  <r>
    <s v="27/03/2023"/>
    <x v="0"/>
    <x v="2"/>
    <x v="2"/>
    <x v="13"/>
    <x v="1"/>
    <x v="2"/>
    <x v="2"/>
    <x v="2"/>
    <x v="51"/>
    <n v="-1247"/>
  </r>
  <r>
    <s v="01/04/2023"/>
    <x v="0"/>
    <x v="3"/>
    <x v="3"/>
    <x v="0"/>
    <x v="0"/>
    <x v="0"/>
    <x v="0"/>
    <x v="0"/>
    <x v="52"/>
    <n v="5943"/>
  </r>
  <r>
    <s v="03/04/2023"/>
    <x v="0"/>
    <x v="3"/>
    <x v="3"/>
    <x v="14"/>
    <x v="1"/>
    <x v="6"/>
    <x v="2"/>
    <x v="9"/>
    <x v="53"/>
    <n v="5745"/>
  </r>
  <r>
    <s v="07/04/2023"/>
    <x v="0"/>
    <x v="3"/>
    <x v="3"/>
    <x v="15"/>
    <x v="1"/>
    <x v="2"/>
    <x v="2"/>
    <x v="4"/>
    <x v="3"/>
    <n v="3745"/>
  </r>
  <r>
    <s v="08/04/2023"/>
    <x v="0"/>
    <x v="3"/>
    <x v="3"/>
    <x v="16"/>
    <x v="1"/>
    <x v="7"/>
    <x v="2"/>
    <x v="24"/>
    <x v="54"/>
    <n v="2691"/>
  </r>
  <r>
    <s v="08/04/2023"/>
    <x v="0"/>
    <x v="3"/>
    <x v="3"/>
    <x v="16"/>
    <x v="1"/>
    <x v="2"/>
    <x v="2"/>
    <x v="8"/>
    <x v="55"/>
    <n v="2289"/>
  </r>
  <r>
    <s v="08/04/2023"/>
    <x v="0"/>
    <x v="3"/>
    <x v="3"/>
    <x v="16"/>
    <x v="1"/>
    <x v="2"/>
    <x v="2"/>
    <x v="17"/>
    <x v="56"/>
    <n v="2034"/>
  </r>
  <r>
    <s v="09/04/2023"/>
    <x v="0"/>
    <x v="3"/>
    <x v="3"/>
    <x v="4"/>
    <x v="1"/>
    <x v="3"/>
    <x v="2"/>
    <x v="18"/>
    <x v="57"/>
    <n v="1671"/>
  </r>
  <r>
    <s v="10/04/2023"/>
    <x v="0"/>
    <x v="3"/>
    <x v="3"/>
    <x v="17"/>
    <x v="1"/>
    <x v="2"/>
    <x v="2"/>
    <x v="14"/>
    <x v="58"/>
    <n v="764"/>
  </r>
  <r>
    <s v="12/04/2023"/>
    <x v="0"/>
    <x v="3"/>
    <x v="3"/>
    <x v="18"/>
    <x v="1"/>
    <x v="3"/>
    <x v="2"/>
    <x v="16"/>
    <x v="59"/>
    <n v="565"/>
  </r>
  <r>
    <s v="14/04/2023"/>
    <x v="0"/>
    <x v="3"/>
    <x v="3"/>
    <x v="7"/>
    <x v="1"/>
    <x v="8"/>
    <x v="2"/>
    <x v="13"/>
    <x v="60"/>
    <n v="-807"/>
  </r>
  <r>
    <s v="17/04/2023"/>
    <x v="0"/>
    <x v="3"/>
    <x v="3"/>
    <x v="23"/>
    <x v="0"/>
    <x v="4"/>
    <x v="1"/>
    <x v="6"/>
    <x v="61"/>
    <n v="618"/>
  </r>
  <r>
    <s v="18/04/2023"/>
    <x v="0"/>
    <x v="3"/>
    <x v="3"/>
    <x v="24"/>
    <x v="1"/>
    <x v="7"/>
    <x v="2"/>
    <x v="20"/>
    <x v="62"/>
    <n v="-75"/>
  </r>
  <r>
    <s v="21/04/2023"/>
    <x v="0"/>
    <x v="3"/>
    <x v="3"/>
    <x v="19"/>
    <x v="1"/>
    <x v="2"/>
    <x v="2"/>
    <x v="2"/>
    <x v="63"/>
    <n v="-248"/>
  </r>
  <r>
    <s v="22/04/2023"/>
    <x v="0"/>
    <x v="3"/>
    <x v="3"/>
    <x v="20"/>
    <x v="1"/>
    <x v="8"/>
    <x v="2"/>
    <x v="12"/>
    <x v="64"/>
    <n v="-548"/>
  </r>
  <r>
    <s v="26/04/2023"/>
    <x v="0"/>
    <x v="3"/>
    <x v="3"/>
    <x v="12"/>
    <x v="1"/>
    <x v="2"/>
    <x v="2"/>
    <x v="3"/>
    <x v="65"/>
    <n v="-701"/>
  </r>
  <r>
    <s v="26/04/2023"/>
    <x v="0"/>
    <x v="3"/>
    <x v="3"/>
    <x v="12"/>
    <x v="0"/>
    <x v="5"/>
    <x v="1"/>
    <x v="7"/>
    <x v="66"/>
    <n v="-387"/>
  </r>
  <r>
    <s v="26/04/2023"/>
    <x v="0"/>
    <x v="3"/>
    <x v="3"/>
    <x v="12"/>
    <x v="0"/>
    <x v="1"/>
    <x v="1"/>
    <x v="1"/>
    <x v="67"/>
    <n v="1303"/>
  </r>
  <r>
    <s v="01/05/2023"/>
    <x v="0"/>
    <x v="4"/>
    <x v="4"/>
    <x v="0"/>
    <x v="0"/>
    <x v="0"/>
    <x v="0"/>
    <x v="0"/>
    <x v="68"/>
    <n v="8532"/>
  </r>
  <r>
    <s v="05/05/2023"/>
    <x v="0"/>
    <x v="4"/>
    <x v="4"/>
    <x v="3"/>
    <x v="1"/>
    <x v="8"/>
    <x v="2"/>
    <x v="13"/>
    <x v="69"/>
    <n v="7674"/>
  </r>
  <r>
    <s v="05/05/2023"/>
    <x v="0"/>
    <x v="4"/>
    <x v="4"/>
    <x v="3"/>
    <x v="1"/>
    <x v="7"/>
    <x v="2"/>
    <x v="20"/>
    <x v="70"/>
    <n v="7009"/>
  </r>
  <r>
    <s v="06/05/2023"/>
    <x v="0"/>
    <x v="4"/>
    <x v="4"/>
    <x v="22"/>
    <x v="1"/>
    <x v="3"/>
    <x v="2"/>
    <x v="16"/>
    <x v="16"/>
    <n v="6792"/>
  </r>
  <r>
    <s v="07/05/2023"/>
    <x v="0"/>
    <x v="4"/>
    <x v="4"/>
    <x v="15"/>
    <x v="1"/>
    <x v="9"/>
    <x v="2"/>
    <x v="19"/>
    <x v="71"/>
    <n v="6248"/>
  </r>
  <r>
    <s v="08/05/2023"/>
    <x v="0"/>
    <x v="4"/>
    <x v="4"/>
    <x v="16"/>
    <x v="1"/>
    <x v="2"/>
    <x v="2"/>
    <x v="14"/>
    <x v="72"/>
    <n v="5458"/>
  </r>
  <r>
    <s v="08/05/2023"/>
    <x v="0"/>
    <x v="4"/>
    <x v="4"/>
    <x v="16"/>
    <x v="1"/>
    <x v="3"/>
    <x v="2"/>
    <x v="18"/>
    <x v="73"/>
    <n v="4997"/>
  </r>
  <r>
    <s v="09/05/2023"/>
    <x v="0"/>
    <x v="4"/>
    <x v="4"/>
    <x v="4"/>
    <x v="0"/>
    <x v="5"/>
    <x v="1"/>
    <x v="7"/>
    <x v="74"/>
    <n v="5648"/>
  </r>
  <r>
    <s v="15/05/2023"/>
    <x v="0"/>
    <x v="4"/>
    <x v="4"/>
    <x v="25"/>
    <x v="1"/>
    <x v="2"/>
    <x v="2"/>
    <x v="4"/>
    <x v="3"/>
    <n v="3648"/>
  </r>
  <r>
    <s v="15/05/2023"/>
    <x v="0"/>
    <x v="4"/>
    <x v="4"/>
    <x v="25"/>
    <x v="1"/>
    <x v="2"/>
    <x v="2"/>
    <x v="8"/>
    <x v="75"/>
    <n v="3345"/>
  </r>
  <r>
    <s v="20/05/2023"/>
    <x v="0"/>
    <x v="4"/>
    <x v="4"/>
    <x v="10"/>
    <x v="0"/>
    <x v="1"/>
    <x v="1"/>
    <x v="1"/>
    <x v="76"/>
    <n v="4913"/>
  </r>
  <r>
    <s v="22/05/2023"/>
    <x v="0"/>
    <x v="4"/>
    <x v="4"/>
    <x v="20"/>
    <x v="1"/>
    <x v="2"/>
    <x v="2"/>
    <x v="17"/>
    <x v="77"/>
    <n v="4651"/>
  </r>
  <r>
    <s v="23/05/2023"/>
    <x v="0"/>
    <x v="4"/>
    <x v="4"/>
    <x v="26"/>
    <x v="1"/>
    <x v="2"/>
    <x v="2"/>
    <x v="2"/>
    <x v="78"/>
    <n v="4477"/>
  </r>
  <r>
    <s v="25/05/2023"/>
    <x v="0"/>
    <x v="4"/>
    <x v="4"/>
    <x v="27"/>
    <x v="1"/>
    <x v="2"/>
    <x v="2"/>
    <x v="3"/>
    <x v="79"/>
    <n v="4362"/>
  </r>
  <r>
    <s v="25/05/2023"/>
    <x v="0"/>
    <x v="4"/>
    <x v="4"/>
    <x v="27"/>
    <x v="1"/>
    <x v="8"/>
    <x v="2"/>
    <x v="12"/>
    <x v="80"/>
    <n v="4068"/>
  </r>
  <r>
    <s v="27/05/2023"/>
    <x v="0"/>
    <x v="4"/>
    <x v="4"/>
    <x v="13"/>
    <x v="1"/>
    <x v="3"/>
    <x v="2"/>
    <x v="25"/>
    <x v="81"/>
    <n v="3101"/>
  </r>
  <r>
    <s v="01/06/2023"/>
    <x v="0"/>
    <x v="5"/>
    <x v="5"/>
    <x v="0"/>
    <x v="0"/>
    <x v="0"/>
    <x v="0"/>
    <x v="0"/>
    <x v="82"/>
    <n v="10342"/>
  </r>
  <r>
    <s v="02/06/2023"/>
    <x v="0"/>
    <x v="5"/>
    <x v="5"/>
    <x v="1"/>
    <x v="0"/>
    <x v="5"/>
    <x v="1"/>
    <x v="7"/>
    <x v="83"/>
    <n v="10791"/>
  </r>
  <r>
    <s v="03/06/2023"/>
    <x v="0"/>
    <x v="5"/>
    <x v="5"/>
    <x v="14"/>
    <x v="1"/>
    <x v="8"/>
    <x v="2"/>
    <x v="12"/>
    <x v="84"/>
    <n v="10458"/>
  </r>
  <r>
    <s v="07/06/2023"/>
    <x v="0"/>
    <x v="5"/>
    <x v="5"/>
    <x v="15"/>
    <x v="0"/>
    <x v="1"/>
    <x v="1"/>
    <x v="1"/>
    <x v="85"/>
    <n v="11834"/>
  </r>
  <r>
    <s v="11/06/2023"/>
    <x v="0"/>
    <x v="5"/>
    <x v="5"/>
    <x v="5"/>
    <x v="1"/>
    <x v="8"/>
    <x v="2"/>
    <x v="13"/>
    <x v="86"/>
    <n v="10889"/>
  </r>
  <r>
    <s v="12/06/2023"/>
    <x v="0"/>
    <x v="5"/>
    <x v="5"/>
    <x v="18"/>
    <x v="1"/>
    <x v="3"/>
    <x v="2"/>
    <x v="18"/>
    <x v="87"/>
    <n v="10578"/>
  </r>
  <r>
    <s v="15/06/2023"/>
    <x v="0"/>
    <x v="5"/>
    <x v="5"/>
    <x v="25"/>
    <x v="1"/>
    <x v="2"/>
    <x v="2"/>
    <x v="2"/>
    <x v="53"/>
    <n v="10380"/>
  </r>
  <r>
    <s v="17/06/2023"/>
    <x v="0"/>
    <x v="5"/>
    <x v="5"/>
    <x v="23"/>
    <x v="1"/>
    <x v="2"/>
    <x v="2"/>
    <x v="17"/>
    <x v="88"/>
    <n v="10139"/>
  </r>
  <r>
    <s v="19/06/2023"/>
    <x v="0"/>
    <x v="5"/>
    <x v="5"/>
    <x v="9"/>
    <x v="1"/>
    <x v="2"/>
    <x v="2"/>
    <x v="3"/>
    <x v="89"/>
    <n v="9990"/>
  </r>
  <r>
    <s v="19/06/2023"/>
    <x v="0"/>
    <x v="5"/>
    <x v="5"/>
    <x v="9"/>
    <x v="1"/>
    <x v="7"/>
    <x v="2"/>
    <x v="20"/>
    <x v="90"/>
    <n v="9351"/>
  </r>
  <r>
    <s v="20/06/2023"/>
    <x v="0"/>
    <x v="5"/>
    <x v="5"/>
    <x v="10"/>
    <x v="1"/>
    <x v="9"/>
    <x v="2"/>
    <x v="26"/>
    <x v="91"/>
    <n v="9046"/>
  </r>
  <r>
    <s v="20/06/2023"/>
    <x v="0"/>
    <x v="5"/>
    <x v="5"/>
    <x v="10"/>
    <x v="1"/>
    <x v="3"/>
    <x v="2"/>
    <x v="16"/>
    <x v="92"/>
    <n v="8827"/>
  </r>
  <r>
    <s v="21/06/2023"/>
    <x v="0"/>
    <x v="5"/>
    <x v="5"/>
    <x v="19"/>
    <x v="1"/>
    <x v="6"/>
    <x v="2"/>
    <x v="9"/>
    <x v="93"/>
    <n v="8627"/>
  </r>
  <r>
    <s v="23/06/2023"/>
    <x v="0"/>
    <x v="5"/>
    <x v="5"/>
    <x v="26"/>
    <x v="1"/>
    <x v="7"/>
    <x v="2"/>
    <x v="11"/>
    <x v="94"/>
    <n v="7709"/>
  </r>
  <r>
    <s v="25/06/2023"/>
    <x v="0"/>
    <x v="5"/>
    <x v="5"/>
    <x v="27"/>
    <x v="1"/>
    <x v="2"/>
    <x v="2"/>
    <x v="8"/>
    <x v="95"/>
    <n v="7294"/>
  </r>
  <r>
    <s v="27/06/2023"/>
    <x v="0"/>
    <x v="5"/>
    <x v="5"/>
    <x v="13"/>
    <x v="1"/>
    <x v="2"/>
    <x v="2"/>
    <x v="4"/>
    <x v="3"/>
    <n v="5294"/>
  </r>
  <r>
    <s v="27/06/2023"/>
    <x v="0"/>
    <x v="5"/>
    <x v="5"/>
    <x v="13"/>
    <x v="1"/>
    <x v="2"/>
    <x v="2"/>
    <x v="14"/>
    <x v="96"/>
    <n v="4406"/>
  </r>
  <r>
    <s v="01/07/2023"/>
    <x v="0"/>
    <x v="6"/>
    <x v="6"/>
    <x v="0"/>
    <x v="0"/>
    <x v="0"/>
    <x v="0"/>
    <x v="0"/>
    <x v="97"/>
    <n v="11667"/>
  </r>
  <r>
    <s v="04/07/2023"/>
    <x v="0"/>
    <x v="6"/>
    <x v="6"/>
    <x v="2"/>
    <x v="1"/>
    <x v="7"/>
    <x v="2"/>
    <x v="20"/>
    <x v="98"/>
    <n v="10914"/>
  </r>
  <r>
    <s v="04/07/2023"/>
    <x v="0"/>
    <x v="6"/>
    <x v="6"/>
    <x v="2"/>
    <x v="1"/>
    <x v="2"/>
    <x v="2"/>
    <x v="8"/>
    <x v="49"/>
    <n v="10688"/>
  </r>
  <r>
    <s v="05/07/2023"/>
    <x v="0"/>
    <x v="6"/>
    <x v="6"/>
    <x v="3"/>
    <x v="1"/>
    <x v="2"/>
    <x v="2"/>
    <x v="17"/>
    <x v="99"/>
    <n v="10449"/>
  </r>
  <r>
    <s v="06/07/2023"/>
    <x v="0"/>
    <x v="6"/>
    <x v="6"/>
    <x v="22"/>
    <x v="1"/>
    <x v="8"/>
    <x v="2"/>
    <x v="12"/>
    <x v="100"/>
    <n v="10060"/>
  </r>
  <r>
    <s v="08/07/2023"/>
    <x v="0"/>
    <x v="6"/>
    <x v="6"/>
    <x v="16"/>
    <x v="0"/>
    <x v="1"/>
    <x v="1"/>
    <x v="1"/>
    <x v="101"/>
    <n v="12031"/>
  </r>
  <r>
    <s v="08/07/2023"/>
    <x v="0"/>
    <x v="6"/>
    <x v="6"/>
    <x v="16"/>
    <x v="1"/>
    <x v="8"/>
    <x v="2"/>
    <x v="13"/>
    <x v="102"/>
    <n v="10928"/>
  </r>
  <r>
    <s v="10/07/2023"/>
    <x v="0"/>
    <x v="6"/>
    <x v="6"/>
    <x v="17"/>
    <x v="1"/>
    <x v="7"/>
    <x v="2"/>
    <x v="11"/>
    <x v="103"/>
    <n v="10593"/>
  </r>
  <r>
    <s v="12/07/2023"/>
    <x v="0"/>
    <x v="6"/>
    <x v="6"/>
    <x v="18"/>
    <x v="1"/>
    <x v="2"/>
    <x v="2"/>
    <x v="2"/>
    <x v="92"/>
    <n v="10374"/>
  </r>
  <r>
    <s v="13/07/2023"/>
    <x v="0"/>
    <x v="6"/>
    <x v="6"/>
    <x v="6"/>
    <x v="1"/>
    <x v="3"/>
    <x v="2"/>
    <x v="18"/>
    <x v="104"/>
    <n v="9992"/>
  </r>
  <r>
    <s v="14/07/2023"/>
    <x v="0"/>
    <x v="6"/>
    <x v="6"/>
    <x v="7"/>
    <x v="0"/>
    <x v="4"/>
    <x v="1"/>
    <x v="6"/>
    <x v="105"/>
    <n v="10560"/>
  </r>
  <r>
    <s v="16/07/2023"/>
    <x v="0"/>
    <x v="6"/>
    <x v="6"/>
    <x v="8"/>
    <x v="1"/>
    <x v="3"/>
    <x v="2"/>
    <x v="16"/>
    <x v="106"/>
    <n v="10325"/>
  </r>
  <r>
    <s v="21/07/2023"/>
    <x v="0"/>
    <x v="6"/>
    <x v="6"/>
    <x v="19"/>
    <x v="1"/>
    <x v="2"/>
    <x v="2"/>
    <x v="3"/>
    <x v="107"/>
    <n v="10157"/>
  </r>
  <r>
    <s v="22/07/2023"/>
    <x v="0"/>
    <x v="6"/>
    <x v="6"/>
    <x v="20"/>
    <x v="1"/>
    <x v="2"/>
    <x v="2"/>
    <x v="14"/>
    <x v="108"/>
    <n v="9311"/>
  </r>
  <r>
    <s v="23/07/2023"/>
    <x v="0"/>
    <x v="6"/>
    <x v="6"/>
    <x v="26"/>
    <x v="1"/>
    <x v="2"/>
    <x v="2"/>
    <x v="4"/>
    <x v="3"/>
    <n v="7311"/>
  </r>
  <r>
    <s v="23/07/2023"/>
    <x v="0"/>
    <x v="6"/>
    <x v="6"/>
    <x v="26"/>
    <x v="1"/>
    <x v="8"/>
    <x v="2"/>
    <x v="27"/>
    <x v="109"/>
    <n v="6835"/>
  </r>
  <r>
    <s v="24/07/2023"/>
    <x v="0"/>
    <x v="6"/>
    <x v="6"/>
    <x v="11"/>
    <x v="0"/>
    <x v="5"/>
    <x v="1"/>
    <x v="7"/>
    <x v="110"/>
    <n v="7245"/>
  </r>
  <r>
    <s v="25/07/2023"/>
    <x v="0"/>
    <x v="6"/>
    <x v="6"/>
    <x v="27"/>
    <x v="1"/>
    <x v="7"/>
    <x v="2"/>
    <x v="11"/>
    <x v="111"/>
    <n v="6966"/>
  </r>
  <r>
    <s v="01/08/2023"/>
    <x v="0"/>
    <x v="7"/>
    <x v="7"/>
    <x v="0"/>
    <x v="0"/>
    <x v="0"/>
    <x v="0"/>
    <x v="0"/>
    <x v="112"/>
    <n v="14047"/>
  </r>
  <r>
    <s v="02/08/2023"/>
    <x v="0"/>
    <x v="7"/>
    <x v="7"/>
    <x v="1"/>
    <x v="1"/>
    <x v="2"/>
    <x v="2"/>
    <x v="10"/>
    <x v="113"/>
    <n v="13143"/>
  </r>
  <r>
    <s v="02/08/2023"/>
    <x v="0"/>
    <x v="7"/>
    <x v="7"/>
    <x v="1"/>
    <x v="1"/>
    <x v="2"/>
    <x v="2"/>
    <x v="8"/>
    <x v="114"/>
    <n v="12855"/>
  </r>
  <r>
    <s v="03/08/2023"/>
    <x v="0"/>
    <x v="7"/>
    <x v="7"/>
    <x v="14"/>
    <x v="1"/>
    <x v="2"/>
    <x v="2"/>
    <x v="4"/>
    <x v="3"/>
    <n v="10855"/>
  </r>
  <r>
    <s v="03/08/2023"/>
    <x v="0"/>
    <x v="7"/>
    <x v="7"/>
    <x v="14"/>
    <x v="1"/>
    <x v="3"/>
    <x v="2"/>
    <x v="28"/>
    <x v="7"/>
    <n v="10534"/>
  </r>
  <r>
    <s v="04/08/2023"/>
    <x v="0"/>
    <x v="7"/>
    <x v="7"/>
    <x v="2"/>
    <x v="1"/>
    <x v="2"/>
    <x v="2"/>
    <x v="14"/>
    <x v="115"/>
    <n v="9598"/>
  </r>
  <r>
    <s v="05/08/2023"/>
    <x v="0"/>
    <x v="7"/>
    <x v="7"/>
    <x v="3"/>
    <x v="1"/>
    <x v="7"/>
    <x v="2"/>
    <x v="20"/>
    <x v="116"/>
    <n v="8957"/>
  </r>
  <r>
    <s v="06/08/2023"/>
    <x v="0"/>
    <x v="7"/>
    <x v="7"/>
    <x v="22"/>
    <x v="1"/>
    <x v="2"/>
    <x v="2"/>
    <x v="3"/>
    <x v="117"/>
    <n v="8809"/>
  </r>
  <r>
    <s v="10/08/2023"/>
    <x v="0"/>
    <x v="7"/>
    <x v="7"/>
    <x v="17"/>
    <x v="1"/>
    <x v="8"/>
    <x v="2"/>
    <x v="27"/>
    <x v="105"/>
    <n v="8241"/>
  </r>
  <r>
    <s v="10/08/2023"/>
    <x v="0"/>
    <x v="7"/>
    <x v="7"/>
    <x v="17"/>
    <x v="0"/>
    <x v="1"/>
    <x v="1"/>
    <x v="1"/>
    <x v="118"/>
    <n v="9876"/>
  </r>
  <r>
    <s v="10/08/2023"/>
    <x v="0"/>
    <x v="7"/>
    <x v="7"/>
    <x v="17"/>
    <x v="1"/>
    <x v="2"/>
    <x v="2"/>
    <x v="17"/>
    <x v="119"/>
    <n v="9634"/>
  </r>
  <r>
    <s v="14/08/2023"/>
    <x v="0"/>
    <x v="7"/>
    <x v="7"/>
    <x v="7"/>
    <x v="1"/>
    <x v="8"/>
    <x v="2"/>
    <x v="29"/>
    <x v="120"/>
    <n v="9353"/>
  </r>
  <r>
    <s v="15/08/2023"/>
    <x v="0"/>
    <x v="7"/>
    <x v="7"/>
    <x v="25"/>
    <x v="1"/>
    <x v="8"/>
    <x v="2"/>
    <x v="12"/>
    <x v="121"/>
    <n v="9023"/>
  </r>
  <r>
    <s v="16/08/2023"/>
    <x v="0"/>
    <x v="7"/>
    <x v="7"/>
    <x v="8"/>
    <x v="1"/>
    <x v="8"/>
    <x v="2"/>
    <x v="13"/>
    <x v="122"/>
    <n v="7895"/>
  </r>
  <r>
    <s v="17/08/2023"/>
    <x v="0"/>
    <x v="7"/>
    <x v="7"/>
    <x v="23"/>
    <x v="0"/>
    <x v="5"/>
    <x v="1"/>
    <x v="7"/>
    <x v="123"/>
    <n v="8273"/>
  </r>
  <r>
    <s v="19/08/2023"/>
    <x v="0"/>
    <x v="7"/>
    <x v="7"/>
    <x v="9"/>
    <x v="1"/>
    <x v="3"/>
    <x v="2"/>
    <x v="16"/>
    <x v="93"/>
    <n v="8073"/>
  </r>
  <r>
    <s v="21/08/2023"/>
    <x v="0"/>
    <x v="7"/>
    <x v="7"/>
    <x v="19"/>
    <x v="1"/>
    <x v="6"/>
    <x v="2"/>
    <x v="30"/>
    <x v="124"/>
    <n v="7181"/>
  </r>
  <r>
    <s v="24/08/2023"/>
    <x v="0"/>
    <x v="7"/>
    <x v="7"/>
    <x v="11"/>
    <x v="1"/>
    <x v="3"/>
    <x v="2"/>
    <x v="18"/>
    <x v="125"/>
    <n v="6604"/>
  </r>
  <r>
    <s v="28/08/2023"/>
    <x v="0"/>
    <x v="7"/>
    <x v="7"/>
    <x v="21"/>
    <x v="1"/>
    <x v="2"/>
    <x v="2"/>
    <x v="2"/>
    <x v="126"/>
    <n v="6444"/>
  </r>
  <r>
    <s v="01/09/2023"/>
    <x v="0"/>
    <x v="8"/>
    <x v="8"/>
    <x v="0"/>
    <x v="0"/>
    <x v="0"/>
    <x v="0"/>
    <x v="0"/>
    <x v="127"/>
    <n v="13667"/>
  </r>
  <r>
    <s v="02/09/2023"/>
    <x v="0"/>
    <x v="8"/>
    <x v="8"/>
    <x v="1"/>
    <x v="1"/>
    <x v="3"/>
    <x v="2"/>
    <x v="18"/>
    <x v="128"/>
    <n v="13338"/>
  </r>
  <r>
    <s v="04/09/2023"/>
    <x v="0"/>
    <x v="8"/>
    <x v="8"/>
    <x v="2"/>
    <x v="1"/>
    <x v="2"/>
    <x v="2"/>
    <x v="17"/>
    <x v="77"/>
    <n v="13076"/>
  </r>
  <r>
    <s v="08/09/2023"/>
    <x v="0"/>
    <x v="8"/>
    <x v="8"/>
    <x v="16"/>
    <x v="0"/>
    <x v="5"/>
    <x v="1"/>
    <x v="7"/>
    <x v="129"/>
    <n v="13744"/>
  </r>
  <r>
    <s v="09/09/2023"/>
    <x v="0"/>
    <x v="8"/>
    <x v="8"/>
    <x v="4"/>
    <x v="1"/>
    <x v="2"/>
    <x v="2"/>
    <x v="2"/>
    <x v="33"/>
    <n v="13589"/>
  </r>
  <r>
    <s v="10/09/2023"/>
    <x v="0"/>
    <x v="8"/>
    <x v="8"/>
    <x v="17"/>
    <x v="1"/>
    <x v="3"/>
    <x v="2"/>
    <x v="16"/>
    <x v="130"/>
    <n v="13383"/>
  </r>
  <r>
    <s v="10/09/2023"/>
    <x v="0"/>
    <x v="8"/>
    <x v="8"/>
    <x v="17"/>
    <x v="1"/>
    <x v="8"/>
    <x v="2"/>
    <x v="13"/>
    <x v="131"/>
    <n v="12365"/>
  </r>
  <r>
    <s v="10/09/2023"/>
    <x v="0"/>
    <x v="8"/>
    <x v="8"/>
    <x v="17"/>
    <x v="1"/>
    <x v="9"/>
    <x v="2"/>
    <x v="26"/>
    <x v="83"/>
    <n v="11916"/>
  </r>
  <r>
    <s v="11/09/2023"/>
    <x v="0"/>
    <x v="8"/>
    <x v="8"/>
    <x v="5"/>
    <x v="1"/>
    <x v="2"/>
    <x v="2"/>
    <x v="14"/>
    <x v="132"/>
    <n v="10929"/>
  </r>
  <r>
    <s v="11/09/2023"/>
    <x v="0"/>
    <x v="8"/>
    <x v="8"/>
    <x v="5"/>
    <x v="1"/>
    <x v="2"/>
    <x v="2"/>
    <x v="23"/>
    <x v="133"/>
    <n v="9831"/>
  </r>
  <r>
    <s v="12/09/2023"/>
    <x v="0"/>
    <x v="8"/>
    <x v="8"/>
    <x v="18"/>
    <x v="1"/>
    <x v="2"/>
    <x v="2"/>
    <x v="3"/>
    <x v="134"/>
    <n v="9703"/>
  </r>
  <r>
    <s v="13/09/2023"/>
    <x v="0"/>
    <x v="8"/>
    <x v="8"/>
    <x v="6"/>
    <x v="1"/>
    <x v="2"/>
    <x v="2"/>
    <x v="4"/>
    <x v="3"/>
    <n v="7703"/>
  </r>
  <r>
    <s v="15/09/2023"/>
    <x v="0"/>
    <x v="8"/>
    <x v="8"/>
    <x v="25"/>
    <x v="1"/>
    <x v="7"/>
    <x v="2"/>
    <x v="11"/>
    <x v="135"/>
    <n v="6898"/>
  </r>
  <r>
    <s v="17/09/2023"/>
    <x v="0"/>
    <x v="8"/>
    <x v="8"/>
    <x v="23"/>
    <x v="0"/>
    <x v="1"/>
    <x v="1"/>
    <x v="1"/>
    <x v="136"/>
    <n v="7953"/>
  </r>
  <r>
    <s v="18/09/2023"/>
    <x v="0"/>
    <x v="8"/>
    <x v="8"/>
    <x v="24"/>
    <x v="1"/>
    <x v="8"/>
    <x v="2"/>
    <x v="12"/>
    <x v="137"/>
    <n v="7649"/>
  </r>
  <r>
    <s v="23/09/2023"/>
    <x v="0"/>
    <x v="8"/>
    <x v="8"/>
    <x v="26"/>
    <x v="1"/>
    <x v="2"/>
    <x v="2"/>
    <x v="8"/>
    <x v="138"/>
    <n v="7388"/>
  </r>
  <r>
    <s v="25/09/2023"/>
    <x v="0"/>
    <x v="8"/>
    <x v="8"/>
    <x v="27"/>
    <x v="1"/>
    <x v="2"/>
    <x v="2"/>
    <x v="23"/>
    <x v="139"/>
    <n v="7073"/>
  </r>
  <r>
    <s v="27/09/2023"/>
    <x v="0"/>
    <x v="8"/>
    <x v="8"/>
    <x v="13"/>
    <x v="1"/>
    <x v="7"/>
    <x v="2"/>
    <x v="11"/>
    <x v="140"/>
    <n v="5949"/>
  </r>
  <r>
    <s v="28/09/2023"/>
    <x v="0"/>
    <x v="8"/>
    <x v="8"/>
    <x v="21"/>
    <x v="1"/>
    <x v="7"/>
    <x v="2"/>
    <x v="20"/>
    <x v="141"/>
    <n v="5244"/>
  </r>
  <r>
    <s v="01/10/2023"/>
    <x v="0"/>
    <x v="9"/>
    <x v="9"/>
    <x v="0"/>
    <x v="0"/>
    <x v="0"/>
    <x v="0"/>
    <x v="0"/>
    <x v="142"/>
    <n v="12140"/>
  </r>
  <r>
    <s v="02/10/2023"/>
    <x v="0"/>
    <x v="9"/>
    <x v="9"/>
    <x v="1"/>
    <x v="1"/>
    <x v="2"/>
    <x v="2"/>
    <x v="3"/>
    <x v="143"/>
    <n v="12011"/>
  </r>
  <r>
    <s v="08/10/2023"/>
    <x v="0"/>
    <x v="9"/>
    <x v="9"/>
    <x v="16"/>
    <x v="1"/>
    <x v="2"/>
    <x v="2"/>
    <x v="17"/>
    <x v="144"/>
    <n v="11763"/>
  </r>
  <r>
    <s v="12/10/2023"/>
    <x v="0"/>
    <x v="9"/>
    <x v="9"/>
    <x v="18"/>
    <x v="1"/>
    <x v="8"/>
    <x v="2"/>
    <x v="12"/>
    <x v="66"/>
    <n v="11449"/>
  </r>
  <r>
    <s v="14/10/2023"/>
    <x v="0"/>
    <x v="9"/>
    <x v="9"/>
    <x v="7"/>
    <x v="1"/>
    <x v="2"/>
    <x v="2"/>
    <x v="8"/>
    <x v="128"/>
    <n v="11120"/>
  </r>
  <r>
    <s v="16/10/2023"/>
    <x v="0"/>
    <x v="9"/>
    <x v="9"/>
    <x v="8"/>
    <x v="1"/>
    <x v="7"/>
    <x v="2"/>
    <x v="20"/>
    <x v="39"/>
    <n v="10395"/>
  </r>
  <r>
    <s v="17/10/2023"/>
    <x v="0"/>
    <x v="9"/>
    <x v="9"/>
    <x v="23"/>
    <x v="1"/>
    <x v="6"/>
    <x v="2"/>
    <x v="9"/>
    <x v="145"/>
    <n v="9834"/>
  </r>
  <r>
    <s v="18/10/2023"/>
    <x v="0"/>
    <x v="9"/>
    <x v="9"/>
    <x v="24"/>
    <x v="1"/>
    <x v="3"/>
    <x v="2"/>
    <x v="18"/>
    <x v="146"/>
    <n v="9392"/>
  </r>
  <r>
    <s v="19/10/2023"/>
    <x v="0"/>
    <x v="9"/>
    <x v="9"/>
    <x v="9"/>
    <x v="0"/>
    <x v="5"/>
    <x v="1"/>
    <x v="7"/>
    <x v="139"/>
    <n v="9707"/>
  </r>
  <r>
    <s v="20/10/2023"/>
    <x v="0"/>
    <x v="9"/>
    <x v="9"/>
    <x v="10"/>
    <x v="1"/>
    <x v="8"/>
    <x v="2"/>
    <x v="13"/>
    <x v="147"/>
    <n v="8548"/>
  </r>
  <r>
    <s v="21/10/2023"/>
    <x v="0"/>
    <x v="9"/>
    <x v="9"/>
    <x v="19"/>
    <x v="1"/>
    <x v="2"/>
    <x v="2"/>
    <x v="2"/>
    <x v="148"/>
    <n v="8362"/>
  </r>
  <r>
    <s v="23/10/2023"/>
    <x v="0"/>
    <x v="9"/>
    <x v="9"/>
    <x v="26"/>
    <x v="0"/>
    <x v="4"/>
    <x v="1"/>
    <x v="6"/>
    <x v="149"/>
    <n v="9438"/>
  </r>
  <r>
    <s v="23/10/2023"/>
    <x v="0"/>
    <x v="9"/>
    <x v="9"/>
    <x v="26"/>
    <x v="1"/>
    <x v="2"/>
    <x v="2"/>
    <x v="4"/>
    <x v="3"/>
    <n v="7438"/>
  </r>
  <r>
    <s v="24/10/2023"/>
    <x v="0"/>
    <x v="9"/>
    <x v="9"/>
    <x v="11"/>
    <x v="0"/>
    <x v="1"/>
    <x v="1"/>
    <x v="1"/>
    <x v="150"/>
    <n v="8643"/>
  </r>
  <r>
    <s v="25/10/2023"/>
    <x v="0"/>
    <x v="9"/>
    <x v="9"/>
    <x v="27"/>
    <x v="1"/>
    <x v="2"/>
    <x v="2"/>
    <x v="14"/>
    <x v="151"/>
    <n v="7634"/>
  </r>
  <r>
    <s v="27/10/2023"/>
    <x v="0"/>
    <x v="9"/>
    <x v="9"/>
    <x v="13"/>
    <x v="1"/>
    <x v="3"/>
    <x v="2"/>
    <x v="16"/>
    <x v="152"/>
    <n v="7404"/>
  </r>
  <r>
    <s v="01/11/2023"/>
    <x v="0"/>
    <x v="10"/>
    <x v="10"/>
    <x v="0"/>
    <x v="0"/>
    <x v="0"/>
    <x v="0"/>
    <x v="0"/>
    <x v="153"/>
    <n v="14449"/>
  </r>
  <r>
    <s v="03/11/2023"/>
    <x v="0"/>
    <x v="10"/>
    <x v="10"/>
    <x v="14"/>
    <x v="1"/>
    <x v="2"/>
    <x v="2"/>
    <x v="17"/>
    <x v="43"/>
    <n v="14198"/>
  </r>
  <r>
    <s v="05/11/2023"/>
    <x v="0"/>
    <x v="10"/>
    <x v="10"/>
    <x v="3"/>
    <x v="1"/>
    <x v="8"/>
    <x v="2"/>
    <x v="13"/>
    <x v="149"/>
    <n v="13122"/>
  </r>
  <r>
    <s v="07/11/2023"/>
    <x v="0"/>
    <x v="10"/>
    <x v="10"/>
    <x v="15"/>
    <x v="1"/>
    <x v="2"/>
    <x v="2"/>
    <x v="8"/>
    <x v="123"/>
    <n v="12744"/>
  </r>
  <r>
    <s v="17/11/2023"/>
    <x v="0"/>
    <x v="10"/>
    <x v="10"/>
    <x v="23"/>
    <x v="0"/>
    <x v="5"/>
    <x v="1"/>
    <x v="7"/>
    <x v="154"/>
    <n v="13198"/>
  </r>
  <r>
    <s v="18/11/2023"/>
    <x v="0"/>
    <x v="10"/>
    <x v="10"/>
    <x v="24"/>
    <x v="1"/>
    <x v="7"/>
    <x v="2"/>
    <x v="20"/>
    <x v="155"/>
    <n v="12430"/>
  </r>
  <r>
    <s v="21/11/2023"/>
    <x v="0"/>
    <x v="10"/>
    <x v="10"/>
    <x v="19"/>
    <x v="1"/>
    <x v="3"/>
    <x v="2"/>
    <x v="18"/>
    <x v="156"/>
    <n v="12038"/>
  </r>
  <r>
    <s v="22/11/2023"/>
    <x v="0"/>
    <x v="10"/>
    <x v="10"/>
    <x v="20"/>
    <x v="0"/>
    <x v="4"/>
    <x v="1"/>
    <x v="6"/>
    <x v="87"/>
    <n v="12349"/>
  </r>
  <r>
    <s v="24/11/2023"/>
    <x v="0"/>
    <x v="10"/>
    <x v="10"/>
    <x v="11"/>
    <x v="1"/>
    <x v="2"/>
    <x v="2"/>
    <x v="3"/>
    <x v="157"/>
    <n v="12208"/>
  </r>
  <r>
    <s v="24/11/2023"/>
    <x v="0"/>
    <x v="10"/>
    <x v="10"/>
    <x v="11"/>
    <x v="0"/>
    <x v="1"/>
    <x v="1"/>
    <x v="1"/>
    <x v="158"/>
    <n v="13594"/>
  </r>
  <r>
    <s v="26/11/2023"/>
    <x v="0"/>
    <x v="10"/>
    <x v="10"/>
    <x v="12"/>
    <x v="1"/>
    <x v="2"/>
    <x v="2"/>
    <x v="14"/>
    <x v="159"/>
    <n v="12590"/>
  </r>
  <r>
    <s v="26/11/2023"/>
    <x v="0"/>
    <x v="10"/>
    <x v="10"/>
    <x v="12"/>
    <x v="1"/>
    <x v="2"/>
    <x v="2"/>
    <x v="4"/>
    <x v="3"/>
    <n v="10590"/>
  </r>
  <r>
    <s v="26/11/2023"/>
    <x v="0"/>
    <x v="10"/>
    <x v="10"/>
    <x v="12"/>
    <x v="1"/>
    <x v="3"/>
    <x v="2"/>
    <x v="16"/>
    <x v="160"/>
    <n v="10353"/>
  </r>
  <r>
    <s v="26/11/2023"/>
    <x v="0"/>
    <x v="10"/>
    <x v="10"/>
    <x v="12"/>
    <x v="1"/>
    <x v="2"/>
    <x v="2"/>
    <x v="2"/>
    <x v="63"/>
    <n v="10180"/>
  </r>
  <r>
    <s v="27/11/2023"/>
    <x v="0"/>
    <x v="10"/>
    <x v="10"/>
    <x v="13"/>
    <x v="1"/>
    <x v="8"/>
    <x v="2"/>
    <x v="12"/>
    <x v="66"/>
    <n v="9866"/>
  </r>
  <r>
    <s v="01/12/2023"/>
    <x v="0"/>
    <x v="11"/>
    <x v="11"/>
    <x v="0"/>
    <x v="0"/>
    <x v="0"/>
    <x v="0"/>
    <x v="0"/>
    <x v="161"/>
    <n v="16851"/>
  </r>
  <r>
    <s v="04/12/2023"/>
    <x v="0"/>
    <x v="11"/>
    <x v="11"/>
    <x v="2"/>
    <x v="1"/>
    <x v="2"/>
    <x v="2"/>
    <x v="8"/>
    <x v="162"/>
    <n v="16490"/>
  </r>
  <r>
    <s v="04/12/2023"/>
    <x v="0"/>
    <x v="11"/>
    <x v="11"/>
    <x v="2"/>
    <x v="1"/>
    <x v="3"/>
    <x v="2"/>
    <x v="18"/>
    <x v="163"/>
    <n v="16067"/>
  </r>
  <r>
    <s v="04/12/2023"/>
    <x v="0"/>
    <x v="11"/>
    <x v="11"/>
    <x v="2"/>
    <x v="1"/>
    <x v="8"/>
    <x v="2"/>
    <x v="13"/>
    <x v="164"/>
    <n v="15166"/>
  </r>
  <r>
    <s v="06/12/2023"/>
    <x v="0"/>
    <x v="11"/>
    <x v="11"/>
    <x v="22"/>
    <x v="1"/>
    <x v="7"/>
    <x v="2"/>
    <x v="20"/>
    <x v="165"/>
    <n v="14437"/>
  </r>
  <r>
    <s v="09/12/2023"/>
    <x v="0"/>
    <x v="11"/>
    <x v="11"/>
    <x v="4"/>
    <x v="1"/>
    <x v="2"/>
    <x v="2"/>
    <x v="2"/>
    <x v="126"/>
    <n v="14277"/>
  </r>
  <r>
    <s v="09/12/2023"/>
    <x v="0"/>
    <x v="11"/>
    <x v="11"/>
    <x v="4"/>
    <x v="1"/>
    <x v="8"/>
    <x v="2"/>
    <x v="12"/>
    <x v="166"/>
    <n v="13976"/>
  </r>
  <r>
    <s v="09/12/2023"/>
    <x v="0"/>
    <x v="11"/>
    <x v="11"/>
    <x v="4"/>
    <x v="1"/>
    <x v="2"/>
    <x v="2"/>
    <x v="3"/>
    <x v="167"/>
    <n v="13849"/>
  </r>
  <r>
    <s v="10/12/2023"/>
    <x v="0"/>
    <x v="11"/>
    <x v="11"/>
    <x v="17"/>
    <x v="0"/>
    <x v="1"/>
    <x v="1"/>
    <x v="1"/>
    <x v="168"/>
    <n v="14955"/>
  </r>
  <r>
    <s v="12/12/2023"/>
    <x v="0"/>
    <x v="11"/>
    <x v="11"/>
    <x v="18"/>
    <x v="1"/>
    <x v="3"/>
    <x v="2"/>
    <x v="16"/>
    <x v="169"/>
    <n v="14733"/>
  </r>
  <r>
    <s v="12/12/2023"/>
    <x v="0"/>
    <x v="11"/>
    <x v="11"/>
    <x v="18"/>
    <x v="1"/>
    <x v="2"/>
    <x v="2"/>
    <x v="17"/>
    <x v="170"/>
    <n v="14473"/>
  </r>
  <r>
    <s v="18/12/2023"/>
    <x v="0"/>
    <x v="11"/>
    <x v="11"/>
    <x v="24"/>
    <x v="1"/>
    <x v="2"/>
    <x v="2"/>
    <x v="14"/>
    <x v="171"/>
    <n v="13577"/>
  </r>
  <r>
    <s v="25/12/2023"/>
    <x v="0"/>
    <x v="11"/>
    <x v="11"/>
    <x v="27"/>
    <x v="1"/>
    <x v="6"/>
    <x v="2"/>
    <x v="30"/>
    <x v="172"/>
    <n v="12415"/>
  </r>
  <r>
    <s v="26/12/2023"/>
    <x v="0"/>
    <x v="11"/>
    <x v="11"/>
    <x v="12"/>
    <x v="1"/>
    <x v="2"/>
    <x v="2"/>
    <x v="4"/>
    <x v="3"/>
    <n v="10415"/>
  </r>
  <r>
    <s v="28/12/2023"/>
    <x v="0"/>
    <x v="11"/>
    <x v="11"/>
    <x v="21"/>
    <x v="0"/>
    <x v="5"/>
    <x v="1"/>
    <x v="7"/>
    <x v="173"/>
    <n v="10991"/>
  </r>
  <r>
    <s v="28/12/2023"/>
    <x v="0"/>
    <x v="11"/>
    <x v="11"/>
    <x v="21"/>
    <x v="1"/>
    <x v="6"/>
    <x v="2"/>
    <x v="30"/>
    <x v="69"/>
    <n v="10133"/>
  </r>
  <r>
    <s v="01/01/2024"/>
    <x v="1"/>
    <x v="0"/>
    <x v="0"/>
    <x v="0"/>
    <x v="0"/>
    <x v="0"/>
    <x v="0"/>
    <x v="0"/>
    <x v="174"/>
    <n v="16997"/>
  </r>
  <r>
    <s v="02/01/2024"/>
    <x v="1"/>
    <x v="0"/>
    <x v="0"/>
    <x v="1"/>
    <x v="1"/>
    <x v="3"/>
    <x v="2"/>
    <x v="25"/>
    <x v="175"/>
    <n v="15974"/>
  </r>
  <r>
    <s v="06/01/2024"/>
    <x v="1"/>
    <x v="0"/>
    <x v="0"/>
    <x v="22"/>
    <x v="1"/>
    <x v="2"/>
    <x v="2"/>
    <x v="8"/>
    <x v="176"/>
    <n v="15562"/>
  </r>
  <r>
    <s v="08/01/2024"/>
    <x v="1"/>
    <x v="0"/>
    <x v="0"/>
    <x v="16"/>
    <x v="1"/>
    <x v="3"/>
    <x v="2"/>
    <x v="16"/>
    <x v="177"/>
    <n v="15344"/>
  </r>
  <r>
    <s v="10/01/2024"/>
    <x v="1"/>
    <x v="0"/>
    <x v="0"/>
    <x v="17"/>
    <x v="1"/>
    <x v="3"/>
    <x v="2"/>
    <x v="5"/>
    <x v="178"/>
    <n v="14421"/>
  </r>
  <r>
    <s v="10/01/2024"/>
    <x v="1"/>
    <x v="0"/>
    <x v="0"/>
    <x v="17"/>
    <x v="1"/>
    <x v="3"/>
    <x v="2"/>
    <x v="18"/>
    <x v="176"/>
    <n v="14009"/>
  </r>
  <r>
    <s v="14/01/2024"/>
    <x v="1"/>
    <x v="0"/>
    <x v="0"/>
    <x v="7"/>
    <x v="1"/>
    <x v="2"/>
    <x v="2"/>
    <x v="14"/>
    <x v="179"/>
    <n v="13048"/>
  </r>
  <r>
    <s v="14/01/2024"/>
    <x v="1"/>
    <x v="0"/>
    <x v="0"/>
    <x v="7"/>
    <x v="1"/>
    <x v="2"/>
    <x v="2"/>
    <x v="17"/>
    <x v="180"/>
    <n v="12796"/>
  </r>
  <r>
    <s v="14/01/2024"/>
    <x v="1"/>
    <x v="0"/>
    <x v="0"/>
    <x v="7"/>
    <x v="0"/>
    <x v="5"/>
    <x v="1"/>
    <x v="7"/>
    <x v="181"/>
    <n v="13218"/>
  </r>
  <r>
    <s v="16/01/2024"/>
    <x v="1"/>
    <x v="0"/>
    <x v="0"/>
    <x v="8"/>
    <x v="1"/>
    <x v="7"/>
    <x v="2"/>
    <x v="20"/>
    <x v="182"/>
    <n v="12563"/>
  </r>
  <r>
    <s v="17/01/2024"/>
    <x v="1"/>
    <x v="0"/>
    <x v="0"/>
    <x v="23"/>
    <x v="0"/>
    <x v="1"/>
    <x v="1"/>
    <x v="1"/>
    <x v="183"/>
    <n v="13222"/>
  </r>
  <r>
    <s v="19/01/2024"/>
    <x v="1"/>
    <x v="0"/>
    <x v="0"/>
    <x v="9"/>
    <x v="1"/>
    <x v="2"/>
    <x v="2"/>
    <x v="3"/>
    <x v="184"/>
    <n v="13108"/>
  </r>
  <r>
    <s v="20/01/2024"/>
    <x v="1"/>
    <x v="0"/>
    <x v="0"/>
    <x v="10"/>
    <x v="1"/>
    <x v="7"/>
    <x v="2"/>
    <x v="24"/>
    <x v="80"/>
    <n v="12814"/>
  </r>
  <r>
    <s v="21/01/2024"/>
    <x v="1"/>
    <x v="0"/>
    <x v="0"/>
    <x v="19"/>
    <x v="1"/>
    <x v="9"/>
    <x v="2"/>
    <x v="21"/>
    <x v="185"/>
    <n v="12713"/>
  </r>
  <r>
    <s v="22/01/2024"/>
    <x v="1"/>
    <x v="0"/>
    <x v="0"/>
    <x v="20"/>
    <x v="1"/>
    <x v="8"/>
    <x v="2"/>
    <x v="12"/>
    <x v="186"/>
    <n v="12404"/>
  </r>
  <r>
    <s v="23/01/2024"/>
    <x v="1"/>
    <x v="0"/>
    <x v="0"/>
    <x v="26"/>
    <x v="1"/>
    <x v="8"/>
    <x v="2"/>
    <x v="13"/>
    <x v="187"/>
    <n v="11564"/>
  </r>
  <r>
    <s v="26/01/2024"/>
    <x v="1"/>
    <x v="0"/>
    <x v="0"/>
    <x v="12"/>
    <x v="1"/>
    <x v="6"/>
    <x v="2"/>
    <x v="9"/>
    <x v="93"/>
    <n v="11364"/>
  </r>
  <r>
    <s v="26/01/2024"/>
    <x v="1"/>
    <x v="0"/>
    <x v="0"/>
    <x v="12"/>
    <x v="1"/>
    <x v="6"/>
    <x v="2"/>
    <x v="15"/>
    <x v="188"/>
    <n v="11222"/>
  </r>
  <r>
    <s v="27/01/2024"/>
    <x v="1"/>
    <x v="0"/>
    <x v="0"/>
    <x v="13"/>
    <x v="1"/>
    <x v="2"/>
    <x v="2"/>
    <x v="4"/>
    <x v="3"/>
    <n v="9222"/>
  </r>
  <r>
    <s v="28/01/2024"/>
    <x v="1"/>
    <x v="0"/>
    <x v="0"/>
    <x v="21"/>
    <x v="1"/>
    <x v="2"/>
    <x v="2"/>
    <x v="2"/>
    <x v="189"/>
    <n v="9045"/>
  </r>
  <r>
    <s v="01/02/2024"/>
    <x v="1"/>
    <x v="1"/>
    <x v="1"/>
    <x v="0"/>
    <x v="0"/>
    <x v="0"/>
    <x v="0"/>
    <x v="0"/>
    <x v="190"/>
    <n v="15899"/>
  </r>
  <r>
    <s v="05/02/2024"/>
    <x v="1"/>
    <x v="1"/>
    <x v="1"/>
    <x v="3"/>
    <x v="1"/>
    <x v="2"/>
    <x v="2"/>
    <x v="14"/>
    <x v="191"/>
    <n v="14924"/>
  </r>
  <r>
    <s v="05/02/2024"/>
    <x v="1"/>
    <x v="1"/>
    <x v="1"/>
    <x v="3"/>
    <x v="1"/>
    <x v="2"/>
    <x v="2"/>
    <x v="8"/>
    <x v="103"/>
    <n v="14589"/>
  </r>
  <r>
    <s v="07/02/2024"/>
    <x v="1"/>
    <x v="1"/>
    <x v="1"/>
    <x v="15"/>
    <x v="1"/>
    <x v="2"/>
    <x v="2"/>
    <x v="2"/>
    <x v="169"/>
    <n v="14367"/>
  </r>
  <r>
    <s v="11/02/2024"/>
    <x v="1"/>
    <x v="1"/>
    <x v="1"/>
    <x v="5"/>
    <x v="1"/>
    <x v="2"/>
    <x v="2"/>
    <x v="3"/>
    <x v="192"/>
    <n v="14223"/>
  </r>
  <r>
    <s v="13/02/2024"/>
    <x v="1"/>
    <x v="1"/>
    <x v="1"/>
    <x v="6"/>
    <x v="0"/>
    <x v="1"/>
    <x v="1"/>
    <x v="1"/>
    <x v="193"/>
    <n v="15166"/>
  </r>
  <r>
    <s v="14/02/2024"/>
    <x v="1"/>
    <x v="1"/>
    <x v="1"/>
    <x v="7"/>
    <x v="1"/>
    <x v="2"/>
    <x v="2"/>
    <x v="17"/>
    <x v="194"/>
    <n v="14919"/>
  </r>
  <r>
    <s v="15/02/2024"/>
    <x v="1"/>
    <x v="1"/>
    <x v="1"/>
    <x v="25"/>
    <x v="1"/>
    <x v="6"/>
    <x v="2"/>
    <x v="30"/>
    <x v="195"/>
    <n v="14643"/>
  </r>
  <r>
    <s v="15/02/2024"/>
    <x v="1"/>
    <x v="1"/>
    <x v="1"/>
    <x v="25"/>
    <x v="1"/>
    <x v="3"/>
    <x v="2"/>
    <x v="5"/>
    <x v="196"/>
    <n v="13492"/>
  </r>
  <r>
    <s v="20/02/2024"/>
    <x v="1"/>
    <x v="1"/>
    <x v="1"/>
    <x v="10"/>
    <x v="1"/>
    <x v="8"/>
    <x v="2"/>
    <x v="12"/>
    <x v="197"/>
    <n v="13142"/>
  </r>
  <r>
    <s v="21/02/2024"/>
    <x v="1"/>
    <x v="1"/>
    <x v="1"/>
    <x v="19"/>
    <x v="0"/>
    <x v="5"/>
    <x v="1"/>
    <x v="7"/>
    <x v="198"/>
    <n v="13702"/>
  </r>
  <r>
    <s v="22/02/2024"/>
    <x v="1"/>
    <x v="1"/>
    <x v="1"/>
    <x v="20"/>
    <x v="1"/>
    <x v="7"/>
    <x v="2"/>
    <x v="20"/>
    <x v="199"/>
    <n v="13038"/>
  </r>
  <r>
    <s v="23/02/2024"/>
    <x v="1"/>
    <x v="1"/>
    <x v="1"/>
    <x v="26"/>
    <x v="1"/>
    <x v="3"/>
    <x v="2"/>
    <x v="16"/>
    <x v="200"/>
    <n v="12814"/>
  </r>
  <r>
    <s v="24/02/2024"/>
    <x v="1"/>
    <x v="1"/>
    <x v="1"/>
    <x v="11"/>
    <x v="1"/>
    <x v="8"/>
    <x v="2"/>
    <x v="13"/>
    <x v="41"/>
    <n v="11880"/>
  </r>
  <r>
    <s v="24/02/2024"/>
    <x v="1"/>
    <x v="1"/>
    <x v="1"/>
    <x v="11"/>
    <x v="1"/>
    <x v="2"/>
    <x v="2"/>
    <x v="4"/>
    <x v="3"/>
    <n v="9880"/>
  </r>
  <r>
    <s v="24/02/2024"/>
    <x v="1"/>
    <x v="1"/>
    <x v="1"/>
    <x v="11"/>
    <x v="1"/>
    <x v="3"/>
    <x v="2"/>
    <x v="18"/>
    <x v="201"/>
    <n v="9344"/>
  </r>
  <r>
    <s v="28/02/2024"/>
    <x v="1"/>
    <x v="1"/>
    <x v="1"/>
    <x v="21"/>
    <x v="1"/>
    <x v="6"/>
    <x v="2"/>
    <x v="9"/>
    <x v="202"/>
    <n v="8424"/>
  </r>
  <r>
    <s v="01/03/2024"/>
    <x v="1"/>
    <x v="2"/>
    <x v="2"/>
    <x v="0"/>
    <x v="0"/>
    <x v="0"/>
    <x v="0"/>
    <x v="0"/>
    <x v="203"/>
    <n v="15385"/>
  </r>
  <r>
    <s v="02/03/2024"/>
    <x v="1"/>
    <x v="2"/>
    <x v="2"/>
    <x v="1"/>
    <x v="1"/>
    <x v="3"/>
    <x v="2"/>
    <x v="5"/>
    <x v="204"/>
    <n v="14187"/>
  </r>
  <r>
    <s v="02/03/2024"/>
    <x v="1"/>
    <x v="2"/>
    <x v="2"/>
    <x v="1"/>
    <x v="1"/>
    <x v="3"/>
    <x v="2"/>
    <x v="18"/>
    <x v="205"/>
    <n v="13739"/>
  </r>
  <r>
    <s v="04/03/2024"/>
    <x v="1"/>
    <x v="2"/>
    <x v="2"/>
    <x v="2"/>
    <x v="1"/>
    <x v="2"/>
    <x v="2"/>
    <x v="17"/>
    <x v="206"/>
    <n v="13495"/>
  </r>
  <r>
    <s v="09/03/2024"/>
    <x v="1"/>
    <x v="2"/>
    <x v="2"/>
    <x v="4"/>
    <x v="1"/>
    <x v="2"/>
    <x v="2"/>
    <x v="3"/>
    <x v="207"/>
    <n v="13336"/>
  </r>
  <r>
    <s v="11/03/2024"/>
    <x v="1"/>
    <x v="2"/>
    <x v="2"/>
    <x v="5"/>
    <x v="1"/>
    <x v="7"/>
    <x v="2"/>
    <x v="11"/>
    <x v="208"/>
    <n v="13086"/>
  </r>
  <r>
    <s v="12/03/2024"/>
    <x v="1"/>
    <x v="2"/>
    <x v="2"/>
    <x v="18"/>
    <x v="1"/>
    <x v="3"/>
    <x v="2"/>
    <x v="16"/>
    <x v="130"/>
    <n v="12880"/>
  </r>
  <r>
    <s v="15/03/2024"/>
    <x v="1"/>
    <x v="2"/>
    <x v="2"/>
    <x v="25"/>
    <x v="1"/>
    <x v="2"/>
    <x v="2"/>
    <x v="2"/>
    <x v="209"/>
    <n v="12671"/>
  </r>
  <r>
    <s v="16/03/2024"/>
    <x v="1"/>
    <x v="2"/>
    <x v="2"/>
    <x v="8"/>
    <x v="1"/>
    <x v="8"/>
    <x v="2"/>
    <x v="13"/>
    <x v="210"/>
    <n v="11712"/>
  </r>
  <r>
    <s v="16/03/2024"/>
    <x v="1"/>
    <x v="2"/>
    <x v="2"/>
    <x v="8"/>
    <x v="1"/>
    <x v="8"/>
    <x v="2"/>
    <x v="12"/>
    <x v="211"/>
    <n v="11381"/>
  </r>
  <r>
    <s v="17/03/2024"/>
    <x v="1"/>
    <x v="2"/>
    <x v="2"/>
    <x v="23"/>
    <x v="1"/>
    <x v="6"/>
    <x v="2"/>
    <x v="15"/>
    <x v="124"/>
    <n v="10489"/>
  </r>
  <r>
    <s v="17/03/2024"/>
    <x v="1"/>
    <x v="2"/>
    <x v="2"/>
    <x v="23"/>
    <x v="1"/>
    <x v="2"/>
    <x v="2"/>
    <x v="23"/>
    <x v="212"/>
    <n v="9674"/>
  </r>
  <r>
    <s v="19/03/2024"/>
    <x v="1"/>
    <x v="2"/>
    <x v="2"/>
    <x v="9"/>
    <x v="1"/>
    <x v="2"/>
    <x v="2"/>
    <x v="4"/>
    <x v="3"/>
    <n v="7674"/>
  </r>
  <r>
    <s v="20/03/2024"/>
    <x v="1"/>
    <x v="2"/>
    <x v="2"/>
    <x v="10"/>
    <x v="1"/>
    <x v="2"/>
    <x v="2"/>
    <x v="8"/>
    <x v="195"/>
    <n v="7398"/>
  </r>
  <r>
    <s v="21/03/2024"/>
    <x v="1"/>
    <x v="2"/>
    <x v="2"/>
    <x v="19"/>
    <x v="1"/>
    <x v="3"/>
    <x v="2"/>
    <x v="5"/>
    <x v="213"/>
    <n v="6766"/>
  </r>
  <r>
    <s v="22/03/2024"/>
    <x v="1"/>
    <x v="2"/>
    <x v="2"/>
    <x v="20"/>
    <x v="0"/>
    <x v="5"/>
    <x v="1"/>
    <x v="7"/>
    <x v="214"/>
    <n v="7154"/>
  </r>
  <r>
    <s v="23/03/2024"/>
    <x v="1"/>
    <x v="2"/>
    <x v="2"/>
    <x v="26"/>
    <x v="1"/>
    <x v="7"/>
    <x v="2"/>
    <x v="20"/>
    <x v="215"/>
    <n v="6471"/>
  </r>
  <r>
    <s v="25/03/2024"/>
    <x v="1"/>
    <x v="2"/>
    <x v="2"/>
    <x v="27"/>
    <x v="0"/>
    <x v="1"/>
    <x v="1"/>
    <x v="1"/>
    <x v="216"/>
    <n v="8139"/>
  </r>
  <r>
    <s v="26/03/2024"/>
    <x v="1"/>
    <x v="2"/>
    <x v="2"/>
    <x v="12"/>
    <x v="1"/>
    <x v="2"/>
    <x v="2"/>
    <x v="14"/>
    <x v="171"/>
    <n v="7243"/>
  </r>
  <r>
    <s v="27/03/2024"/>
    <x v="1"/>
    <x v="2"/>
    <x v="2"/>
    <x v="13"/>
    <x v="1"/>
    <x v="7"/>
    <x v="2"/>
    <x v="24"/>
    <x v="217"/>
    <n v="6266"/>
  </r>
  <r>
    <s v="01/04/2024"/>
    <x v="1"/>
    <x v="3"/>
    <x v="3"/>
    <x v="0"/>
    <x v="0"/>
    <x v="0"/>
    <x v="0"/>
    <x v="0"/>
    <x v="218"/>
    <n v="13172"/>
  </r>
  <r>
    <s v="05/04/2024"/>
    <x v="1"/>
    <x v="3"/>
    <x v="3"/>
    <x v="3"/>
    <x v="1"/>
    <x v="2"/>
    <x v="2"/>
    <x v="2"/>
    <x v="93"/>
    <n v="12972"/>
  </r>
  <r>
    <s v="08/04/2024"/>
    <x v="1"/>
    <x v="3"/>
    <x v="3"/>
    <x v="16"/>
    <x v="1"/>
    <x v="8"/>
    <x v="2"/>
    <x v="13"/>
    <x v="219"/>
    <n v="11741"/>
  </r>
  <r>
    <s v="10/04/2024"/>
    <x v="1"/>
    <x v="3"/>
    <x v="3"/>
    <x v="17"/>
    <x v="1"/>
    <x v="8"/>
    <x v="2"/>
    <x v="12"/>
    <x v="220"/>
    <n v="11385"/>
  </r>
  <r>
    <s v="10/04/2024"/>
    <x v="1"/>
    <x v="3"/>
    <x v="3"/>
    <x v="17"/>
    <x v="1"/>
    <x v="2"/>
    <x v="2"/>
    <x v="4"/>
    <x v="3"/>
    <n v="9385"/>
  </r>
  <r>
    <s v="11/04/2024"/>
    <x v="1"/>
    <x v="3"/>
    <x v="3"/>
    <x v="5"/>
    <x v="1"/>
    <x v="3"/>
    <x v="2"/>
    <x v="18"/>
    <x v="221"/>
    <n v="8784"/>
  </r>
  <r>
    <s v="11/04/2024"/>
    <x v="1"/>
    <x v="3"/>
    <x v="3"/>
    <x v="5"/>
    <x v="1"/>
    <x v="2"/>
    <x v="2"/>
    <x v="14"/>
    <x v="222"/>
    <n v="7951"/>
  </r>
  <r>
    <s v="12/04/2024"/>
    <x v="1"/>
    <x v="3"/>
    <x v="3"/>
    <x v="18"/>
    <x v="1"/>
    <x v="2"/>
    <x v="2"/>
    <x v="8"/>
    <x v="194"/>
    <n v="7704"/>
  </r>
  <r>
    <s v="12/04/2024"/>
    <x v="1"/>
    <x v="3"/>
    <x v="3"/>
    <x v="18"/>
    <x v="0"/>
    <x v="5"/>
    <x v="1"/>
    <x v="7"/>
    <x v="223"/>
    <n v="8134"/>
  </r>
  <r>
    <s v="17/04/2024"/>
    <x v="1"/>
    <x v="3"/>
    <x v="3"/>
    <x v="23"/>
    <x v="1"/>
    <x v="8"/>
    <x v="2"/>
    <x v="27"/>
    <x v="224"/>
    <n v="7113"/>
  </r>
  <r>
    <s v="19/04/2024"/>
    <x v="1"/>
    <x v="3"/>
    <x v="3"/>
    <x v="9"/>
    <x v="1"/>
    <x v="2"/>
    <x v="2"/>
    <x v="3"/>
    <x v="225"/>
    <n v="6948"/>
  </r>
  <r>
    <s v="24/04/2024"/>
    <x v="1"/>
    <x v="3"/>
    <x v="3"/>
    <x v="11"/>
    <x v="1"/>
    <x v="6"/>
    <x v="2"/>
    <x v="15"/>
    <x v="226"/>
    <n v="6290"/>
  </r>
  <r>
    <s v="24/04/2024"/>
    <x v="1"/>
    <x v="3"/>
    <x v="3"/>
    <x v="11"/>
    <x v="1"/>
    <x v="3"/>
    <x v="2"/>
    <x v="5"/>
    <x v="227"/>
    <n v="6202"/>
  </r>
  <r>
    <s v="24/04/2024"/>
    <x v="1"/>
    <x v="3"/>
    <x v="3"/>
    <x v="11"/>
    <x v="1"/>
    <x v="2"/>
    <x v="2"/>
    <x v="17"/>
    <x v="119"/>
    <n v="5960"/>
  </r>
  <r>
    <s v="25/04/2024"/>
    <x v="1"/>
    <x v="3"/>
    <x v="3"/>
    <x v="27"/>
    <x v="0"/>
    <x v="1"/>
    <x v="1"/>
    <x v="1"/>
    <x v="228"/>
    <n v="7687"/>
  </r>
  <r>
    <s v="26/04/2024"/>
    <x v="1"/>
    <x v="3"/>
    <x v="3"/>
    <x v="12"/>
    <x v="1"/>
    <x v="7"/>
    <x v="2"/>
    <x v="20"/>
    <x v="229"/>
    <n v="6984"/>
  </r>
  <r>
    <s v="28/04/2024"/>
    <x v="1"/>
    <x v="3"/>
    <x v="3"/>
    <x v="21"/>
    <x v="1"/>
    <x v="3"/>
    <x v="2"/>
    <x v="16"/>
    <x v="27"/>
    <n v="6777"/>
  </r>
  <r>
    <s v="01/05/2024"/>
    <x v="1"/>
    <x v="4"/>
    <x v="4"/>
    <x v="0"/>
    <x v="0"/>
    <x v="0"/>
    <x v="0"/>
    <x v="0"/>
    <x v="230"/>
    <n v="13741"/>
  </r>
  <r>
    <s v="04/05/2024"/>
    <x v="1"/>
    <x v="4"/>
    <x v="4"/>
    <x v="2"/>
    <x v="1"/>
    <x v="2"/>
    <x v="2"/>
    <x v="2"/>
    <x v="231"/>
    <n v="13554"/>
  </r>
  <r>
    <s v="04/05/2024"/>
    <x v="1"/>
    <x v="4"/>
    <x v="4"/>
    <x v="2"/>
    <x v="1"/>
    <x v="2"/>
    <x v="2"/>
    <x v="14"/>
    <x v="232"/>
    <n v="12681"/>
  </r>
  <r>
    <s v="06/05/2024"/>
    <x v="1"/>
    <x v="4"/>
    <x v="4"/>
    <x v="22"/>
    <x v="1"/>
    <x v="2"/>
    <x v="2"/>
    <x v="3"/>
    <x v="233"/>
    <n v="12524"/>
  </r>
  <r>
    <s v="07/05/2024"/>
    <x v="1"/>
    <x v="4"/>
    <x v="4"/>
    <x v="15"/>
    <x v="1"/>
    <x v="7"/>
    <x v="2"/>
    <x v="24"/>
    <x v="49"/>
    <n v="12298"/>
  </r>
  <r>
    <s v="07/05/2024"/>
    <x v="1"/>
    <x v="4"/>
    <x v="4"/>
    <x v="15"/>
    <x v="0"/>
    <x v="1"/>
    <x v="1"/>
    <x v="1"/>
    <x v="141"/>
    <n v="13003"/>
  </r>
  <r>
    <s v="09/05/2024"/>
    <x v="1"/>
    <x v="4"/>
    <x v="4"/>
    <x v="4"/>
    <x v="1"/>
    <x v="8"/>
    <x v="2"/>
    <x v="13"/>
    <x v="234"/>
    <n v="12113"/>
  </r>
  <r>
    <s v="09/05/2024"/>
    <x v="1"/>
    <x v="4"/>
    <x v="4"/>
    <x v="4"/>
    <x v="1"/>
    <x v="3"/>
    <x v="2"/>
    <x v="18"/>
    <x v="235"/>
    <n v="11576"/>
  </r>
  <r>
    <s v="10/05/2024"/>
    <x v="1"/>
    <x v="4"/>
    <x v="4"/>
    <x v="17"/>
    <x v="0"/>
    <x v="5"/>
    <x v="1"/>
    <x v="7"/>
    <x v="236"/>
    <n v="12267"/>
  </r>
  <r>
    <s v="11/05/2024"/>
    <x v="1"/>
    <x v="4"/>
    <x v="4"/>
    <x v="5"/>
    <x v="1"/>
    <x v="2"/>
    <x v="2"/>
    <x v="17"/>
    <x v="237"/>
    <n v="12027"/>
  </r>
  <r>
    <s v="14/05/2024"/>
    <x v="1"/>
    <x v="4"/>
    <x v="4"/>
    <x v="7"/>
    <x v="1"/>
    <x v="3"/>
    <x v="2"/>
    <x v="16"/>
    <x v="177"/>
    <n v="11809"/>
  </r>
  <r>
    <s v="15/05/2024"/>
    <x v="1"/>
    <x v="4"/>
    <x v="4"/>
    <x v="25"/>
    <x v="1"/>
    <x v="2"/>
    <x v="2"/>
    <x v="10"/>
    <x v="238"/>
    <n v="11744"/>
  </r>
  <r>
    <s v="21/05/2024"/>
    <x v="1"/>
    <x v="4"/>
    <x v="4"/>
    <x v="19"/>
    <x v="1"/>
    <x v="7"/>
    <x v="2"/>
    <x v="20"/>
    <x v="239"/>
    <n v="11003"/>
  </r>
  <r>
    <s v="23/05/2024"/>
    <x v="1"/>
    <x v="4"/>
    <x v="4"/>
    <x v="26"/>
    <x v="1"/>
    <x v="2"/>
    <x v="2"/>
    <x v="8"/>
    <x v="240"/>
    <n v="10769"/>
  </r>
  <r>
    <s v="26/05/2024"/>
    <x v="1"/>
    <x v="4"/>
    <x v="4"/>
    <x v="12"/>
    <x v="1"/>
    <x v="8"/>
    <x v="2"/>
    <x v="12"/>
    <x v="241"/>
    <n v="10462"/>
  </r>
  <r>
    <s v="26/05/2024"/>
    <x v="1"/>
    <x v="4"/>
    <x v="4"/>
    <x v="12"/>
    <x v="1"/>
    <x v="9"/>
    <x v="2"/>
    <x v="31"/>
    <x v="242"/>
    <n v="10199"/>
  </r>
  <r>
    <s v="28/05/2024"/>
    <x v="1"/>
    <x v="4"/>
    <x v="4"/>
    <x v="21"/>
    <x v="1"/>
    <x v="2"/>
    <x v="2"/>
    <x v="4"/>
    <x v="3"/>
    <n v="8199"/>
  </r>
  <r>
    <s v="01/06/2024"/>
    <x v="1"/>
    <x v="5"/>
    <x v="5"/>
    <x v="0"/>
    <x v="0"/>
    <x v="0"/>
    <x v="0"/>
    <x v="0"/>
    <x v="243"/>
    <n v="15255"/>
  </r>
  <r>
    <s v="03/06/2024"/>
    <x v="1"/>
    <x v="5"/>
    <x v="5"/>
    <x v="14"/>
    <x v="1"/>
    <x v="3"/>
    <x v="2"/>
    <x v="18"/>
    <x v="244"/>
    <n v="14910"/>
  </r>
  <r>
    <s v="04/06/2024"/>
    <x v="1"/>
    <x v="5"/>
    <x v="5"/>
    <x v="2"/>
    <x v="1"/>
    <x v="7"/>
    <x v="2"/>
    <x v="24"/>
    <x v="245"/>
    <n v="13954"/>
  </r>
  <r>
    <s v="06/06/2024"/>
    <x v="1"/>
    <x v="5"/>
    <x v="5"/>
    <x v="22"/>
    <x v="1"/>
    <x v="8"/>
    <x v="2"/>
    <x v="12"/>
    <x v="246"/>
    <n v="13569"/>
  </r>
  <r>
    <s v="08/06/2024"/>
    <x v="1"/>
    <x v="5"/>
    <x v="5"/>
    <x v="16"/>
    <x v="1"/>
    <x v="2"/>
    <x v="2"/>
    <x v="17"/>
    <x v="144"/>
    <n v="13321"/>
  </r>
  <r>
    <s v="09/06/2024"/>
    <x v="1"/>
    <x v="5"/>
    <x v="5"/>
    <x v="4"/>
    <x v="1"/>
    <x v="2"/>
    <x v="2"/>
    <x v="2"/>
    <x v="177"/>
    <n v="13103"/>
  </r>
  <r>
    <s v="09/06/2024"/>
    <x v="1"/>
    <x v="5"/>
    <x v="5"/>
    <x v="4"/>
    <x v="0"/>
    <x v="5"/>
    <x v="1"/>
    <x v="7"/>
    <x v="247"/>
    <n v="13500"/>
  </r>
  <r>
    <s v="11/06/2024"/>
    <x v="1"/>
    <x v="5"/>
    <x v="5"/>
    <x v="5"/>
    <x v="1"/>
    <x v="3"/>
    <x v="2"/>
    <x v="16"/>
    <x v="200"/>
    <n v="13276"/>
  </r>
  <r>
    <s v="11/06/2024"/>
    <x v="1"/>
    <x v="5"/>
    <x v="5"/>
    <x v="5"/>
    <x v="0"/>
    <x v="1"/>
    <x v="1"/>
    <x v="1"/>
    <x v="248"/>
    <n v="13942"/>
  </r>
  <r>
    <s v="16/06/2024"/>
    <x v="1"/>
    <x v="5"/>
    <x v="5"/>
    <x v="8"/>
    <x v="1"/>
    <x v="2"/>
    <x v="2"/>
    <x v="14"/>
    <x v="249"/>
    <n v="13158"/>
  </r>
  <r>
    <s v="19/06/2024"/>
    <x v="1"/>
    <x v="5"/>
    <x v="5"/>
    <x v="9"/>
    <x v="1"/>
    <x v="7"/>
    <x v="2"/>
    <x v="24"/>
    <x v="250"/>
    <n v="12074"/>
  </r>
  <r>
    <s v="19/06/2024"/>
    <x v="1"/>
    <x v="5"/>
    <x v="5"/>
    <x v="9"/>
    <x v="1"/>
    <x v="8"/>
    <x v="2"/>
    <x v="13"/>
    <x v="251"/>
    <n v="11125"/>
  </r>
  <r>
    <s v="20/06/2024"/>
    <x v="1"/>
    <x v="5"/>
    <x v="5"/>
    <x v="10"/>
    <x v="1"/>
    <x v="2"/>
    <x v="2"/>
    <x v="3"/>
    <x v="89"/>
    <n v="10976"/>
  </r>
  <r>
    <s v="24/06/2024"/>
    <x v="1"/>
    <x v="5"/>
    <x v="5"/>
    <x v="11"/>
    <x v="1"/>
    <x v="2"/>
    <x v="2"/>
    <x v="4"/>
    <x v="3"/>
    <n v="8976"/>
  </r>
  <r>
    <s v="27/06/2024"/>
    <x v="1"/>
    <x v="5"/>
    <x v="5"/>
    <x v="13"/>
    <x v="1"/>
    <x v="2"/>
    <x v="2"/>
    <x v="8"/>
    <x v="252"/>
    <n v="8600"/>
  </r>
  <r>
    <s v="28/06/2024"/>
    <x v="1"/>
    <x v="5"/>
    <x v="5"/>
    <x v="21"/>
    <x v="1"/>
    <x v="7"/>
    <x v="2"/>
    <x v="20"/>
    <x v="253"/>
    <n v="7950"/>
  </r>
  <r>
    <s v="01/07/2024"/>
    <x v="1"/>
    <x v="6"/>
    <x v="6"/>
    <x v="0"/>
    <x v="0"/>
    <x v="0"/>
    <x v="0"/>
    <x v="0"/>
    <x v="254"/>
    <n v="15091"/>
  </r>
  <r>
    <s v="02/07/2024"/>
    <x v="1"/>
    <x v="6"/>
    <x v="6"/>
    <x v="1"/>
    <x v="0"/>
    <x v="5"/>
    <x v="1"/>
    <x v="7"/>
    <x v="45"/>
    <n v="15387"/>
  </r>
  <r>
    <s v="02/07/2024"/>
    <x v="1"/>
    <x v="6"/>
    <x v="6"/>
    <x v="1"/>
    <x v="1"/>
    <x v="2"/>
    <x v="2"/>
    <x v="14"/>
    <x v="255"/>
    <n v="14352"/>
  </r>
  <r>
    <s v="04/07/2024"/>
    <x v="1"/>
    <x v="6"/>
    <x v="6"/>
    <x v="2"/>
    <x v="1"/>
    <x v="3"/>
    <x v="2"/>
    <x v="18"/>
    <x v="256"/>
    <n v="13911"/>
  </r>
  <r>
    <s v="10/07/2024"/>
    <x v="1"/>
    <x v="6"/>
    <x v="6"/>
    <x v="17"/>
    <x v="1"/>
    <x v="8"/>
    <x v="2"/>
    <x v="13"/>
    <x v="257"/>
    <n v="12986"/>
  </r>
  <r>
    <s v="15/07/2024"/>
    <x v="1"/>
    <x v="6"/>
    <x v="6"/>
    <x v="25"/>
    <x v="1"/>
    <x v="3"/>
    <x v="2"/>
    <x v="16"/>
    <x v="258"/>
    <n v="12773"/>
  </r>
  <r>
    <s v="16/07/2024"/>
    <x v="1"/>
    <x v="6"/>
    <x v="6"/>
    <x v="8"/>
    <x v="1"/>
    <x v="6"/>
    <x v="2"/>
    <x v="15"/>
    <x v="259"/>
    <n v="12638"/>
  </r>
  <r>
    <s v="18/07/2024"/>
    <x v="1"/>
    <x v="6"/>
    <x v="6"/>
    <x v="24"/>
    <x v="1"/>
    <x v="2"/>
    <x v="2"/>
    <x v="17"/>
    <x v="17"/>
    <n v="12384"/>
  </r>
  <r>
    <s v="20/07/2024"/>
    <x v="1"/>
    <x v="6"/>
    <x v="6"/>
    <x v="10"/>
    <x v="1"/>
    <x v="2"/>
    <x v="2"/>
    <x v="8"/>
    <x v="260"/>
    <n v="12152"/>
  </r>
  <r>
    <s v="20/07/2024"/>
    <x v="1"/>
    <x v="6"/>
    <x v="6"/>
    <x v="10"/>
    <x v="1"/>
    <x v="8"/>
    <x v="2"/>
    <x v="12"/>
    <x v="261"/>
    <n v="11842"/>
  </r>
  <r>
    <s v="20/07/2024"/>
    <x v="1"/>
    <x v="6"/>
    <x v="6"/>
    <x v="10"/>
    <x v="1"/>
    <x v="2"/>
    <x v="2"/>
    <x v="4"/>
    <x v="3"/>
    <n v="9842"/>
  </r>
  <r>
    <s v="21/07/2024"/>
    <x v="1"/>
    <x v="6"/>
    <x v="6"/>
    <x v="19"/>
    <x v="0"/>
    <x v="1"/>
    <x v="1"/>
    <x v="1"/>
    <x v="262"/>
    <n v="10954"/>
  </r>
  <r>
    <s v="23/07/2024"/>
    <x v="1"/>
    <x v="6"/>
    <x v="6"/>
    <x v="26"/>
    <x v="1"/>
    <x v="2"/>
    <x v="2"/>
    <x v="2"/>
    <x v="209"/>
    <n v="10745"/>
  </r>
  <r>
    <s v="23/07/2024"/>
    <x v="1"/>
    <x v="6"/>
    <x v="6"/>
    <x v="26"/>
    <x v="0"/>
    <x v="4"/>
    <x v="1"/>
    <x v="6"/>
    <x v="263"/>
    <n v="12223"/>
  </r>
  <r>
    <s v="26/07/2024"/>
    <x v="1"/>
    <x v="6"/>
    <x v="6"/>
    <x v="12"/>
    <x v="1"/>
    <x v="2"/>
    <x v="2"/>
    <x v="3"/>
    <x v="264"/>
    <n v="12101"/>
  </r>
  <r>
    <s v="26/07/2024"/>
    <x v="1"/>
    <x v="6"/>
    <x v="6"/>
    <x v="12"/>
    <x v="1"/>
    <x v="9"/>
    <x v="2"/>
    <x v="32"/>
    <x v="265"/>
    <n v="11804"/>
  </r>
  <r>
    <s v="28/07/2024"/>
    <x v="1"/>
    <x v="6"/>
    <x v="6"/>
    <x v="21"/>
    <x v="1"/>
    <x v="7"/>
    <x v="2"/>
    <x v="20"/>
    <x v="266"/>
    <n v="11105"/>
  </r>
  <r>
    <s v="28/07/2024"/>
    <x v="1"/>
    <x v="6"/>
    <x v="6"/>
    <x v="21"/>
    <x v="1"/>
    <x v="6"/>
    <x v="2"/>
    <x v="30"/>
    <x v="267"/>
    <n v="10225"/>
  </r>
  <r>
    <s v="28/07/2024"/>
    <x v="1"/>
    <x v="6"/>
    <x v="6"/>
    <x v="21"/>
    <x v="1"/>
    <x v="9"/>
    <x v="2"/>
    <x v="26"/>
    <x v="268"/>
    <n v="9112"/>
  </r>
  <r>
    <s v="01/08/2024"/>
    <x v="1"/>
    <x v="7"/>
    <x v="7"/>
    <x v="0"/>
    <x v="0"/>
    <x v="0"/>
    <x v="0"/>
    <x v="0"/>
    <x v="269"/>
    <n v="16060"/>
  </r>
  <r>
    <s v="06/08/2024"/>
    <x v="1"/>
    <x v="7"/>
    <x v="7"/>
    <x v="22"/>
    <x v="1"/>
    <x v="2"/>
    <x v="2"/>
    <x v="8"/>
    <x v="55"/>
    <n v="15658"/>
  </r>
  <r>
    <s v="08/08/2024"/>
    <x v="1"/>
    <x v="7"/>
    <x v="7"/>
    <x v="16"/>
    <x v="0"/>
    <x v="1"/>
    <x v="1"/>
    <x v="1"/>
    <x v="270"/>
    <n v="17319"/>
  </r>
  <r>
    <s v="08/08/2024"/>
    <x v="1"/>
    <x v="7"/>
    <x v="7"/>
    <x v="16"/>
    <x v="1"/>
    <x v="2"/>
    <x v="2"/>
    <x v="2"/>
    <x v="207"/>
    <n v="17160"/>
  </r>
  <r>
    <s v="09/08/2024"/>
    <x v="1"/>
    <x v="7"/>
    <x v="7"/>
    <x v="4"/>
    <x v="1"/>
    <x v="3"/>
    <x v="2"/>
    <x v="16"/>
    <x v="119"/>
    <n v="16918"/>
  </r>
  <r>
    <s v="09/08/2024"/>
    <x v="1"/>
    <x v="7"/>
    <x v="7"/>
    <x v="4"/>
    <x v="1"/>
    <x v="8"/>
    <x v="2"/>
    <x v="12"/>
    <x v="271"/>
    <n v="16564"/>
  </r>
  <r>
    <s v="11/08/2024"/>
    <x v="1"/>
    <x v="7"/>
    <x v="7"/>
    <x v="5"/>
    <x v="1"/>
    <x v="7"/>
    <x v="2"/>
    <x v="20"/>
    <x v="272"/>
    <n v="15857"/>
  </r>
  <r>
    <s v="13/08/2024"/>
    <x v="1"/>
    <x v="7"/>
    <x v="7"/>
    <x v="6"/>
    <x v="0"/>
    <x v="5"/>
    <x v="1"/>
    <x v="7"/>
    <x v="105"/>
    <n v="16425"/>
  </r>
  <r>
    <s v="16/08/2024"/>
    <x v="1"/>
    <x v="7"/>
    <x v="7"/>
    <x v="8"/>
    <x v="1"/>
    <x v="2"/>
    <x v="2"/>
    <x v="14"/>
    <x v="273"/>
    <n v="15455"/>
  </r>
  <r>
    <s v="16/08/2024"/>
    <x v="1"/>
    <x v="7"/>
    <x v="7"/>
    <x v="8"/>
    <x v="1"/>
    <x v="2"/>
    <x v="2"/>
    <x v="3"/>
    <x v="274"/>
    <n v="15294"/>
  </r>
  <r>
    <s v="17/08/2024"/>
    <x v="1"/>
    <x v="7"/>
    <x v="7"/>
    <x v="23"/>
    <x v="1"/>
    <x v="2"/>
    <x v="2"/>
    <x v="17"/>
    <x v="88"/>
    <n v="15053"/>
  </r>
  <r>
    <s v="18/08/2024"/>
    <x v="1"/>
    <x v="7"/>
    <x v="7"/>
    <x v="24"/>
    <x v="1"/>
    <x v="6"/>
    <x v="2"/>
    <x v="30"/>
    <x v="275"/>
    <n v="14396"/>
  </r>
  <r>
    <s v="19/08/2024"/>
    <x v="1"/>
    <x v="7"/>
    <x v="7"/>
    <x v="9"/>
    <x v="1"/>
    <x v="3"/>
    <x v="2"/>
    <x v="18"/>
    <x v="276"/>
    <n v="13975"/>
  </r>
  <r>
    <s v="22/08/2024"/>
    <x v="1"/>
    <x v="7"/>
    <x v="7"/>
    <x v="20"/>
    <x v="1"/>
    <x v="8"/>
    <x v="2"/>
    <x v="13"/>
    <x v="277"/>
    <n v="12815"/>
  </r>
  <r>
    <s v="22/08/2024"/>
    <x v="1"/>
    <x v="7"/>
    <x v="7"/>
    <x v="20"/>
    <x v="1"/>
    <x v="2"/>
    <x v="2"/>
    <x v="4"/>
    <x v="3"/>
    <n v="10815"/>
  </r>
  <r>
    <s v="01/09/2024"/>
    <x v="1"/>
    <x v="8"/>
    <x v="8"/>
    <x v="0"/>
    <x v="0"/>
    <x v="0"/>
    <x v="0"/>
    <x v="0"/>
    <x v="278"/>
    <n v="17789"/>
  </r>
  <r>
    <s v="02/09/2024"/>
    <x v="1"/>
    <x v="8"/>
    <x v="8"/>
    <x v="1"/>
    <x v="1"/>
    <x v="2"/>
    <x v="2"/>
    <x v="17"/>
    <x v="279"/>
    <n v="17544"/>
  </r>
  <r>
    <s v="03/09/2024"/>
    <x v="1"/>
    <x v="8"/>
    <x v="8"/>
    <x v="14"/>
    <x v="1"/>
    <x v="9"/>
    <x v="2"/>
    <x v="21"/>
    <x v="280"/>
    <n v="16470"/>
  </r>
  <r>
    <s v="04/09/2024"/>
    <x v="1"/>
    <x v="8"/>
    <x v="8"/>
    <x v="2"/>
    <x v="1"/>
    <x v="2"/>
    <x v="2"/>
    <x v="14"/>
    <x v="187"/>
    <n v="15630"/>
  </r>
  <r>
    <s v="05/09/2024"/>
    <x v="1"/>
    <x v="8"/>
    <x v="8"/>
    <x v="3"/>
    <x v="1"/>
    <x v="7"/>
    <x v="2"/>
    <x v="11"/>
    <x v="179"/>
    <n v="14669"/>
  </r>
  <r>
    <s v="06/09/2024"/>
    <x v="1"/>
    <x v="8"/>
    <x v="8"/>
    <x v="22"/>
    <x v="1"/>
    <x v="2"/>
    <x v="2"/>
    <x v="4"/>
    <x v="3"/>
    <n v="12669"/>
  </r>
  <r>
    <s v="06/09/2024"/>
    <x v="1"/>
    <x v="8"/>
    <x v="8"/>
    <x v="22"/>
    <x v="0"/>
    <x v="1"/>
    <x v="1"/>
    <x v="1"/>
    <x v="281"/>
    <n v="14054"/>
  </r>
  <r>
    <s v="08/09/2024"/>
    <x v="1"/>
    <x v="8"/>
    <x v="8"/>
    <x v="16"/>
    <x v="0"/>
    <x v="5"/>
    <x v="1"/>
    <x v="7"/>
    <x v="282"/>
    <n v="14610"/>
  </r>
  <r>
    <s v="11/09/2024"/>
    <x v="1"/>
    <x v="8"/>
    <x v="8"/>
    <x v="5"/>
    <x v="1"/>
    <x v="8"/>
    <x v="2"/>
    <x v="13"/>
    <x v="283"/>
    <n v="13324"/>
  </r>
  <r>
    <s v="12/09/2024"/>
    <x v="1"/>
    <x v="8"/>
    <x v="8"/>
    <x v="18"/>
    <x v="1"/>
    <x v="2"/>
    <x v="2"/>
    <x v="8"/>
    <x v="284"/>
    <n v="12921"/>
  </r>
  <r>
    <s v="13/09/2024"/>
    <x v="1"/>
    <x v="8"/>
    <x v="8"/>
    <x v="6"/>
    <x v="1"/>
    <x v="3"/>
    <x v="2"/>
    <x v="16"/>
    <x v="258"/>
    <n v="12708"/>
  </r>
  <r>
    <s v="16/09/2024"/>
    <x v="1"/>
    <x v="8"/>
    <x v="8"/>
    <x v="8"/>
    <x v="1"/>
    <x v="3"/>
    <x v="2"/>
    <x v="18"/>
    <x v="285"/>
    <n v="12246"/>
  </r>
  <r>
    <s v="17/09/2024"/>
    <x v="1"/>
    <x v="8"/>
    <x v="8"/>
    <x v="23"/>
    <x v="1"/>
    <x v="7"/>
    <x v="2"/>
    <x v="20"/>
    <x v="286"/>
    <n v="11495"/>
  </r>
  <r>
    <s v="18/09/2024"/>
    <x v="1"/>
    <x v="8"/>
    <x v="8"/>
    <x v="24"/>
    <x v="1"/>
    <x v="2"/>
    <x v="2"/>
    <x v="3"/>
    <x v="167"/>
    <n v="11368"/>
  </r>
  <r>
    <s v="20/09/2024"/>
    <x v="1"/>
    <x v="8"/>
    <x v="8"/>
    <x v="10"/>
    <x v="1"/>
    <x v="8"/>
    <x v="2"/>
    <x v="12"/>
    <x v="287"/>
    <n v="10968"/>
  </r>
  <r>
    <s v="23/09/2024"/>
    <x v="1"/>
    <x v="8"/>
    <x v="8"/>
    <x v="26"/>
    <x v="1"/>
    <x v="9"/>
    <x v="2"/>
    <x v="26"/>
    <x v="288"/>
    <n v="10118"/>
  </r>
  <r>
    <s v="25/09/2024"/>
    <x v="1"/>
    <x v="8"/>
    <x v="8"/>
    <x v="27"/>
    <x v="1"/>
    <x v="7"/>
    <x v="2"/>
    <x v="24"/>
    <x v="289"/>
    <n v="10027"/>
  </r>
  <r>
    <s v="27/09/2024"/>
    <x v="1"/>
    <x v="8"/>
    <x v="8"/>
    <x v="13"/>
    <x v="1"/>
    <x v="2"/>
    <x v="2"/>
    <x v="10"/>
    <x v="224"/>
    <n v="9006"/>
  </r>
  <r>
    <s v="27/09/2024"/>
    <x v="1"/>
    <x v="8"/>
    <x v="8"/>
    <x v="13"/>
    <x v="1"/>
    <x v="2"/>
    <x v="2"/>
    <x v="2"/>
    <x v="290"/>
    <n v="8794"/>
  </r>
  <r>
    <s v="01/10/2024"/>
    <x v="1"/>
    <x v="9"/>
    <x v="9"/>
    <x v="0"/>
    <x v="0"/>
    <x v="0"/>
    <x v="0"/>
    <x v="0"/>
    <x v="291"/>
    <n v="15697"/>
  </r>
  <r>
    <s v="04/10/2024"/>
    <x v="1"/>
    <x v="9"/>
    <x v="9"/>
    <x v="2"/>
    <x v="1"/>
    <x v="2"/>
    <x v="2"/>
    <x v="17"/>
    <x v="22"/>
    <n v="15454"/>
  </r>
  <r>
    <s v="05/10/2024"/>
    <x v="1"/>
    <x v="9"/>
    <x v="9"/>
    <x v="3"/>
    <x v="1"/>
    <x v="3"/>
    <x v="2"/>
    <x v="16"/>
    <x v="177"/>
    <n v="15236"/>
  </r>
  <r>
    <s v="07/10/2024"/>
    <x v="1"/>
    <x v="9"/>
    <x v="9"/>
    <x v="15"/>
    <x v="1"/>
    <x v="7"/>
    <x v="2"/>
    <x v="11"/>
    <x v="292"/>
    <n v="14828"/>
  </r>
  <r>
    <s v="09/10/2024"/>
    <x v="1"/>
    <x v="9"/>
    <x v="9"/>
    <x v="4"/>
    <x v="1"/>
    <x v="8"/>
    <x v="2"/>
    <x v="12"/>
    <x v="293"/>
    <n v="14469"/>
  </r>
  <r>
    <s v="12/10/2024"/>
    <x v="1"/>
    <x v="9"/>
    <x v="9"/>
    <x v="18"/>
    <x v="1"/>
    <x v="2"/>
    <x v="2"/>
    <x v="2"/>
    <x v="294"/>
    <n v="14278"/>
  </r>
  <r>
    <s v="13/10/2024"/>
    <x v="1"/>
    <x v="9"/>
    <x v="9"/>
    <x v="6"/>
    <x v="1"/>
    <x v="6"/>
    <x v="2"/>
    <x v="30"/>
    <x v="295"/>
    <n v="13484"/>
  </r>
  <r>
    <s v="15/10/2024"/>
    <x v="1"/>
    <x v="9"/>
    <x v="9"/>
    <x v="25"/>
    <x v="1"/>
    <x v="7"/>
    <x v="2"/>
    <x v="20"/>
    <x v="296"/>
    <n v="12717"/>
  </r>
  <r>
    <s v="19/10/2024"/>
    <x v="1"/>
    <x v="9"/>
    <x v="9"/>
    <x v="9"/>
    <x v="1"/>
    <x v="2"/>
    <x v="2"/>
    <x v="14"/>
    <x v="297"/>
    <n v="11849"/>
  </r>
  <r>
    <s v="19/10/2024"/>
    <x v="1"/>
    <x v="9"/>
    <x v="9"/>
    <x v="9"/>
    <x v="1"/>
    <x v="2"/>
    <x v="2"/>
    <x v="3"/>
    <x v="184"/>
    <n v="11735"/>
  </r>
  <r>
    <s v="21/10/2024"/>
    <x v="1"/>
    <x v="9"/>
    <x v="9"/>
    <x v="19"/>
    <x v="1"/>
    <x v="7"/>
    <x v="2"/>
    <x v="11"/>
    <x v="298"/>
    <n v="10892"/>
  </r>
  <r>
    <s v="22/10/2024"/>
    <x v="1"/>
    <x v="9"/>
    <x v="9"/>
    <x v="20"/>
    <x v="0"/>
    <x v="5"/>
    <x v="1"/>
    <x v="7"/>
    <x v="299"/>
    <n v="11183"/>
  </r>
  <r>
    <s v="23/10/2024"/>
    <x v="1"/>
    <x v="9"/>
    <x v="9"/>
    <x v="26"/>
    <x v="1"/>
    <x v="8"/>
    <x v="2"/>
    <x v="13"/>
    <x v="300"/>
    <n v="9851"/>
  </r>
  <r>
    <s v="23/10/2024"/>
    <x v="1"/>
    <x v="9"/>
    <x v="9"/>
    <x v="26"/>
    <x v="1"/>
    <x v="2"/>
    <x v="2"/>
    <x v="4"/>
    <x v="3"/>
    <n v="7851"/>
  </r>
  <r>
    <s v="24/10/2024"/>
    <x v="1"/>
    <x v="9"/>
    <x v="9"/>
    <x v="11"/>
    <x v="0"/>
    <x v="1"/>
    <x v="1"/>
    <x v="1"/>
    <x v="301"/>
    <n v="9265"/>
  </r>
  <r>
    <s v="26/10/2024"/>
    <x v="1"/>
    <x v="9"/>
    <x v="9"/>
    <x v="12"/>
    <x v="1"/>
    <x v="2"/>
    <x v="2"/>
    <x v="8"/>
    <x v="302"/>
    <n v="8947"/>
  </r>
  <r>
    <s v="26/10/2024"/>
    <x v="1"/>
    <x v="9"/>
    <x v="9"/>
    <x v="12"/>
    <x v="1"/>
    <x v="3"/>
    <x v="2"/>
    <x v="18"/>
    <x v="303"/>
    <n v="8455"/>
  </r>
  <r>
    <s v="01/11/2024"/>
    <x v="1"/>
    <x v="10"/>
    <x v="10"/>
    <x v="0"/>
    <x v="0"/>
    <x v="0"/>
    <x v="0"/>
    <x v="0"/>
    <x v="304"/>
    <n v="15505"/>
  </r>
  <r>
    <s v="02/11/2024"/>
    <x v="1"/>
    <x v="10"/>
    <x v="10"/>
    <x v="1"/>
    <x v="1"/>
    <x v="2"/>
    <x v="2"/>
    <x v="14"/>
    <x v="305"/>
    <n v="14497"/>
  </r>
  <r>
    <s v="04/11/2024"/>
    <x v="1"/>
    <x v="10"/>
    <x v="10"/>
    <x v="2"/>
    <x v="1"/>
    <x v="2"/>
    <x v="2"/>
    <x v="3"/>
    <x v="306"/>
    <n v="14360"/>
  </r>
  <r>
    <s v="08/11/2024"/>
    <x v="1"/>
    <x v="10"/>
    <x v="10"/>
    <x v="16"/>
    <x v="1"/>
    <x v="3"/>
    <x v="2"/>
    <x v="18"/>
    <x v="307"/>
    <n v="13753"/>
  </r>
  <r>
    <s v="09/11/2024"/>
    <x v="1"/>
    <x v="10"/>
    <x v="10"/>
    <x v="4"/>
    <x v="0"/>
    <x v="1"/>
    <x v="1"/>
    <x v="1"/>
    <x v="308"/>
    <n v="15297"/>
  </r>
  <r>
    <s v="11/11/2024"/>
    <x v="1"/>
    <x v="10"/>
    <x v="10"/>
    <x v="5"/>
    <x v="1"/>
    <x v="8"/>
    <x v="2"/>
    <x v="13"/>
    <x v="309"/>
    <n v="14121"/>
  </r>
  <r>
    <s v="13/11/2024"/>
    <x v="1"/>
    <x v="10"/>
    <x v="10"/>
    <x v="6"/>
    <x v="1"/>
    <x v="2"/>
    <x v="2"/>
    <x v="17"/>
    <x v="77"/>
    <n v="13859"/>
  </r>
  <r>
    <s v="15/11/2024"/>
    <x v="1"/>
    <x v="10"/>
    <x v="10"/>
    <x v="25"/>
    <x v="1"/>
    <x v="8"/>
    <x v="2"/>
    <x v="12"/>
    <x v="197"/>
    <n v="13509"/>
  </r>
  <r>
    <s v="16/11/2024"/>
    <x v="1"/>
    <x v="10"/>
    <x v="10"/>
    <x v="8"/>
    <x v="1"/>
    <x v="7"/>
    <x v="2"/>
    <x v="20"/>
    <x v="310"/>
    <n v="12761"/>
  </r>
  <r>
    <s v="16/11/2024"/>
    <x v="1"/>
    <x v="10"/>
    <x v="10"/>
    <x v="8"/>
    <x v="1"/>
    <x v="2"/>
    <x v="2"/>
    <x v="2"/>
    <x v="311"/>
    <n v="12545"/>
  </r>
  <r>
    <s v="17/11/2024"/>
    <x v="1"/>
    <x v="10"/>
    <x v="10"/>
    <x v="23"/>
    <x v="1"/>
    <x v="3"/>
    <x v="2"/>
    <x v="16"/>
    <x v="312"/>
    <n v="12342"/>
  </r>
  <r>
    <s v="22/11/2024"/>
    <x v="1"/>
    <x v="10"/>
    <x v="10"/>
    <x v="20"/>
    <x v="1"/>
    <x v="7"/>
    <x v="2"/>
    <x v="24"/>
    <x v="313"/>
    <n v="11834"/>
  </r>
  <r>
    <s v="22/11/2024"/>
    <x v="1"/>
    <x v="10"/>
    <x v="10"/>
    <x v="20"/>
    <x v="1"/>
    <x v="2"/>
    <x v="2"/>
    <x v="10"/>
    <x v="314"/>
    <n v="11576"/>
  </r>
  <r>
    <s v="22/11/2024"/>
    <x v="1"/>
    <x v="10"/>
    <x v="10"/>
    <x v="20"/>
    <x v="0"/>
    <x v="5"/>
    <x v="1"/>
    <x v="7"/>
    <x v="315"/>
    <n v="11956"/>
  </r>
  <r>
    <s v="23/11/2024"/>
    <x v="1"/>
    <x v="10"/>
    <x v="10"/>
    <x v="26"/>
    <x v="1"/>
    <x v="2"/>
    <x v="2"/>
    <x v="4"/>
    <x v="3"/>
    <n v="9956"/>
  </r>
  <r>
    <s v="23/11/2024"/>
    <x v="1"/>
    <x v="10"/>
    <x v="10"/>
    <x v="26"/>
    <x v="1"/>
    <x v="2"/>
    <x v="2"/>
    <x v="8"/>
    <x v="128"/>
    <n v="9627"/>
  </r>
  <r>
    <s v="24/11/2024"/>
    <x v="1"/>
    <x v="10"/>
    <x v="10"/>
    <x v="11"/>
    <x v="1"/>
    <x v="3"/>
    <x v="2"/>
    <x v="33"/>
    <x v="70"/>
    <n v="8962"/>
  </r>
  <r>
    <s v="27/11/2024"/>
    <x v="1"/>
    <x v="10"/>
    <x v="10"/>
    <x v="13"/>
    <x v="1"/>
    <x v="2"/>
    <x v="2"/>
    <x v="10"/>
    <x v="316"/>
    <n v="8270"/>
  </r>
  <r>
    <s v="28/11/2024"/>
    <x v="1"/>
    <x v="10"/>
    <x v="10"/>
    <x v="21"/>
    <x v="1"/>
    <x v="3"/>
    <x v="2"/>
    <x v="5"/>
    <x v="317"/>
    <n v="8166"/>
  </r>
  <r>
    <s v="28/11/2024"/>
    <x v="1"/>
    <x v="10"/>
    <x v="10"/>
    <x v="21"/>
    <x v="1"/>
    <x v="6"/>
    <x v="2"/>
    <x v="15"/>
    <x v="318"/>
    <n v="7089"/>
  </r>
  <r>
    <s v="01/12/2024"/>
    <x v="1"/>
    <x v="11"/>
    <x v="11"/>
    <x v="0"/>
    <x v="0"/>
    <x v="0"/>
    <x v="0"/>
    <x v="0"/>
    <x v="319"/>
    <n v="14137"/>
  </r>
  <r>
    <s v="04/12/2024"/>
    <x v="1"/>
    <x v="11"/>
    <x v="11"/>
    <x v="2"/>
    <x v="0"/>
    <x v="5"/>
    <x v="1"/>
    <x v="7"/>
    <x v="320"/>
    <n v="14538"/>
  </r>
  <r>
    <s v="04/12/2024"/>
    <x v="1"/>
    <x v="11"/>
    <x v="11"/>
    <x v="2"/>
    <x v="1"/>
    <x v="3"/>
    <x v="2"/>
    <x v="33"/>
    <x v="321"/>
    <n v="13729"/>
  </r>
  <r>
    <s v="06/12/2024"/>
    <x v="1"/>
    <x v="11"/>
    <x v="11"/>
    <x v="22"/>
    <x v="1"/>
    <x v="3"/>
    <x v="2"/>
    <x v="16"/>
    <x v="322"/>
    <n v="13498"/>
  </r>
  <r>
    <s v="07/12/2024"/>
    <x v="1"/>
    <x v="11"/>
    <x v="11"/>
    <x v="15"/>
    <x v="1"/>
    <x v="2"/>
    <x v="2"/>
    <x v="14"/>
    <x v="323"/>
    <n v="12679"/>
  </r>
  <r>
    <s v="10/12/2024"/>
    <x v="1"/>
    <x v="11"/>
    <x v="11"/>
    <x v="17"/>
    <x v="1"/>
    <x v="3"/>
    <x v="2"/>
    <x v="28"/>
    <x v="227"/>
    <n v="12591"/>
  </r>
  <r>
    <s v="10/12/2024"/>
    <x v="1"/>
    <x v="11"/>
    <x v="11"/>
    <x v="17"/>
    <x v="1"/>
    <x v="2"/>
    <x v="2"/>
    <x v="3"/>
    <x v="207"/>
    <n v="12432"/>
  </r>
  <r>
    <s v="10/12/2024"/>
    <x v="1"/>
    <x v="11"/>
    <x v="11"/>
    <x v="17"/>
    <x v="1"/>
    <x v="2"/>
    <x v="2"/>
    <x v="17"/>
    <x v="170"/>
    <n v="12172"/>
  </r>
  <r>
    <s v="11/12/2024"/>
    <x v="1"/>
    <x v="11"/>
    <x v="11"/>
    <x v="5"/>
    <x v="1"/>
    <x v="8"/>
    <x v="2"/>
    <x v="12"/>
    <x v="293"/>
    <n v="11813"/>
  </r>
  <r>
    <s v="12/12/2024"/>
    <x v="1"/>
    <x v="11"/>
    <x v="11"/>
    <x v="18"/>
    <x v="1"/>
    <x v="7"/>
    <x v="2"/>
    <x v="20"/>
    <x v="324"/>
    <n v="11070"/>
  </r>
  <r>
    <s v="13/12/2024"/>
    <x v="1"/>
    <x v="11"/>
    <x v="11"/>
    <x v="6"/>
    <x v="1"/>
    <x v="2"/>
    <x v="2"/>
    <x v="8"/>
    <x v="325"/>
    <n v="10744"/>
  </r>
  <r>
    <s v="15/12/2024"/>
    <x v="1"/>
    <x v="11"/>
    <x v="11"/>
    <x v="25"/>
    <x v="1"/>
    <x v="2"/>
    <x v="2"/>
    <x v="4"/>
    <x v="3"/>
    <n v="8744"/>
  </r>
  <r>
    <s v="16/12/2024"/>
    <x v="1"/>
    <x v="11"/>
    <x v="11"/>
    <x v="8"/>
    <x v="1"/>
    <x v="3"/>
    <x v="2"/>
    <x v="18"/>
    <x v="326"/>
    <n v="8148"/>
  </r>
  <r>
    <s v="17/12/2024"/>
    <x v="1"/>
    <x v="11"/>
    <x v="11"/>
    <x v="23"/>
    <x v="1"/>
    <x v="8"/>
    <x v="2"/>
    <x v="13"/>
    <x v="327"/>
    <n v="6791"/>
  </r>
  <r>
    <s v="25/12/2024"/>
    <x v="1"/>
    <x v="11"/>
    <x v="11"/>
    <x v="27"/>
    <x v="0"/>
    <x v="1"/>
    <x v="1"/>
    <x v="1"/>
    <x v="328"/>
    <n v="7660"/>
  </r>
  <r>
    <s v="27/12/2024"/>
    <x v="1"/>
    <x v="11"/>
    <x v="11"/>
    <x v="13"/>
    <x v="1"/>
    <x v="2"/>
    <x v="2"/>
    <x v="2"/>
    <x v="329"/>
    <n v="7476"/>
  </r>
  <r>
    <s v="01/01/2025"/>
    <x v="2"/>
    <x v="0"/>
    <x v="0"/>
    <x v="0"/>
    <x v="0"/>
    <x v="0"/>
    <x v="0"/>
    <x v="0"/>
    <x v="330"/>
    <n v="14740"/>
  </r>
  <r>
    <s v="03/01/2025"/>
    <x v="2"/>
    <x v="0"/>
    <x v="0"/>
    <x v="14"/>
    <x v="1"/>
    <x v="2"/>
    <x v="2"/>
    <x v="17"/>
    <x v="138"/>
    <n v="14479"/>
  </r>
  <r>
    <s v="05/01/2025"/>
    <x v="2"/>
    <x v="0"/>
    <x v="0"/>
    <x v="3"/>
    <x v="1"/>
    <x v="8"/>
    <x v="2"/>
    <x v="12"/>
    <x v="331"/>
    <n v="14223"/>
  </r>
  <r>
    <s v="05/01/2025"/>
    <x v="2"/>
    <x v="0"/>
    <x v="0"/>
    <x v="3"/>
    <x v="0"/>
    <x v="1"/>
    <x v="1"/>
    <x v="1"/>
    <x v="332"/>
    <n v="16205"/>
  </r>
  <r>
    <s v="09/01/2025"/>
    <x v="2"/>
    <x v="0"/>
    <x v="0"/>
    <x v="4"/>
    <x v="1"/>
    <x v="2"/>
    <x v="2"/>
    <x v="14"/>
    <x v="333"/>
    <n v="15265"/>
  </r>
  <r>
    <s v="09/01/2025"/>
    <x v="2"/>
    <x v="0"/>
    <x v="0"/>
    <x v="4"/>
    <x v="0"/>
    <x v="5"/>
    <x v="1"/>
    <x v="7"/>
    <x v="334"/>
    <n v="15756"/>
  </r>
  <r>
    <s v="11/01/2025"/>
    <x v="2"/>
    <x v="0"/>
    <x v="0"/>
    <x v="5"/>
    <x v="1"/>
    <x v="8"/>
    <x v="2"/>
    <x v="13"/>
    <x v="335"/>
    <n v="14383"/>
  </r>
  <r>
    <s v="15/01/2025"/>
    <x v="2"/>
    <x v="0"/>
    <x v="0"/>
    <x v="25"/>
    <x v="1"/>
    <x v="2"/>
    <x v="2"/>
    <x v="3"/>
    <x v="336"/>
    <n v="14264"/>
  </r>
  <r>
    <s v="16/01/2025"/>
    <x v="2"/>
    <x v="0"/>
    <x v="0"/>
    <x v="8"/>
    <x v="1"/>
    <x v="3"/>
    <x v="2"/>
    <x v="18"/>
    <x v="337"/>
    <n v="13855"/>
  </r>
  <r>
    <s v="19/01/2025"/>
    <x v="2"/>
    <x v="0"/>
    <x v="0"/>
    <x v="9"/>
    <x v="1"/>
    <x v="7"/>
    <x v="2"/>
    <x v="20"/>
    <x v="338"/>
    <n v="13206"/>
  </r>
  <r>
    <s v="19/01/2025"/>
    <x v="2"/>
    <x v="0"/>
    <x v="0"/>
    <x v="9"/>
    <x v="0"/>
    <x v="4"/>
    <x v="1"/>
    <x v="6"/>
    <x v="339"/>
    <n v="14177"/>
  </r>
  <r>
    <s v="21/01/2025"/>
    <x v="2"/>
    <x v="0"/>
    <x v="0"/>
    <x v="19"/>
    <x v="1"/>
    <x v="2"/>
    <x v="2"/>
    <x v="4"/>
    <x v="3"/>
    <n v="12177"/>
  </r>
  <r>
    <s v="22/01/2025"/>
    <x v="2"/>
    <x v="0"/>
    <x v="0"/>
    <x v="20"/>
    <x v="1"/>
    <x v="2"/>
    <x v="2"/>
    <x v="2"/>
    <x v="209"/>
    <n v="11968"/>
  </r>
  <r>
    <s v="24/01/2025"/>
    <x v="2"/>
    <x v="0"/>
    <x v="0"/>
    <x v="11"/>
    <x v="1"/>
    <x v="2"/>
    <x v="2"/>
    <x v="8"/>
    <x v="340"/>
    <n v="11686"/>
  </r>
  <r>
    <s v="25/01/2025"/>
    <x v="2"/>
    <x v="0"/>
    <x v="0"/>
    <x v="27"/>
    <x v="1"/>
    <x v="3"/>
    <x v="2"/>
    <x v="16"/>
    <x v="341"/>
    <n v="11457"/>
  </r>
  <r>
    <s v="01/02/2025"/>
    <x v="2"/>
    <x v="1"/>
    <x v="1"/>
    <x v="0"/>
    <x v="0"/>
    <x v="0"/>
    <x v="0"/>
    <x v="0"/>
    <x v="342"/>
    <n v="18720"/>
  </r>
  <r>
    <s v="02/02/2025"/>
    <x v="2"/>
    <x v="1"/>
    <x v="1"/>
    <x v="1"/>
    <x v="1"/>
    <x v="3"/>
    <x v="2"/>
    <x v="18"/>
    <x v="343"/>
    <n v="18412"/>
  </r>
  <r>
    <s v="05/02/2025"/>
    <x v="2"/>
    <x v="1"/>
    <x v="1"/>
    <x v="3"/>
    <x v="1"/>
    <x v="2"/>
    <x v="2"/>
    <x v="23"/>
    <x v="344"/>
    <n v="17995"/>
  </r>
  <r>
    <s v="05/02/2025"/>
    <x v="2"/>
    <x v="1"/>
    <x v="1"/>
    <x v="3"/>
    <x v="1"/>
    <x v="2"/>
    <x v="2"/>
    <x v="14"/>
    <x v="345"/>
    <n v="16965"/>
  </r>
  <r>
    <s v="05/02/2025"/>
    <x v="2"/>
    <x v="1"/>
    <x v="1"/>
    <x v="3"/>
    <x v="1"/>
    <x v="2"/>
    <x v="2"/>
    <x v="17"/>
    <x v="138"/>
    <n v="16704"/>
  </r>
  <r>
    <s v="08/02/2025"/>
    <x v="2"/>
    <x v="1"/>
    <x v="1"/>
    <x v="16"/>
    <x v="1"/>
    <x v="3"/>
    <x v="2"/>
    <x v="25"/>
    <x v="346"/>
    <n v="15509"/>
  </r>
  <r>
    <s v="10/02/2025"/>
    <x v="2"/>
    <x v="1"/>
    <x v="1"/>
    <x v="17"/>
    <x v="0"/>
    <x v="1"/>
    <x v="1"/>
    <x v="1"/>
    <x v="347"/>
    <n v="16176"/>
  </r>
  <r>
    <s v="10/02/2025"/>
    <x v="2"/>
    <x v="1"/>
    <x v="1"/>
    <x v="17"/>
    <x v="1"/>
    <x v="9"/>
    <x v="2"/>
    <x v="31"/>
    <x v="238"/>
    <n v="16111"/>
  </r>
  <r>
    <s v="12/02/2025"/>
    <x v="2"/>
    <x v="1"/>
    <x v="1"/>
    <x v="18"/>
    <x v="1"/>
    <x v="3"/>
    <x v="2"/>
    <x v="16"/>
    <x v="209"/>
    <n v="15902"/>
  </r>
  <r>
    <s v="13/02/2025"/>
    <x v="2"/>
    <x v="1"/>
    <x v="1"/>
    <x v="6"/>
    <x v="1"/>
    <x v="2"/>
    <x v="2"/>
    <x v="2"/>
    <x v="329"/>
    <n v="15718"/>
  </r>
  <r>
    <s v="13/02/2025"/>
    <x v="2"/>
    <x v="1"/>
    <x v="1"/>
    <x v="6"/>
    <x v="1"/>
    <x v="2"/>
    <x v="2"/>
    <x v="4"/>
    <x v="3"/>
    <n v="13718"/>
  </r>
  <r>
    <s v="14/02/2025"/>
    <x v="2"/>
    <x v="1"/>
    <x v="1"/>
    <x v="7"/>
    <x v="1"/>
    <x v="2"/>
    <x v="2"/>
    <x v="3"/>
    <x v="167"/>
    <n v="13591"/>
  </r>
  <r>
    <s v="16/02/2025"/>
    <x v="2"/>
    <x v="1"/>
    <x v="1"/>
    <x v="8"/>
    <x v="0"/>
    <x v="4"/>
    <x v="1"/>
    <x v="6"/>
    <x v="348"/>
    <n v="14374"/>
  </r>
  <r>
    <s v="22/02/2025"/>
    <x v="2"/>
    <x v="1"/>
    <x v="1"/>
    <x v="20"/>
    <x v="1"/>
    <x v="2"/>
    <x v="2"/>
    <x v="8"/>
    <x v="349"/>
    <n v="14081"/>
  </r>
  <r>
    <s v="22/02/2025"/>
    <x v="2"/>
    <x v="1"/>
    <x v="1"/>
    <x v="20"/>
    <x v="1"/>
    <x v="7"/>
    <x v="2"/>
    <x v="20"/>
    <x v="350"/>
    <n v="13367"/>
  </r>
  <r>
    <s v="23/02/2025"/>
    <x v="2"/>
    <x v="1"/>
    <x v="1"/>
    <x v="26"/>
    <x v="1"/>
    <x v="8"/>
    <x v="2"/>
    <x v="12"/>
    <x v="351"/>
    <n v="13093"/>
  </r>
  <r>
    <s v="24/02/2025"/>
    <x v="2"/>
    <x v="1"/>
    <x v="1"/>
    <x v="11"/>
    <x v="0"/>
    <x v="5"/>
    <x v="1"/>
    <x v="7"/>
    <x v="352"/>
    <n v="13532"/>
  </r>
  <r>
    <s v="28/02/2025"/>
    <x v="2"/>
    <x v="1"/>
    <x v="1"/>
    <x v="21"/>
    <x v="1"/>
    <x v="8"/>
    <x v="2"/>
    <x v="13"/>
    <x v="353"/>
    <n v="12457"/>
  </r>
  <r>
    <s v="01/03/2025"/>
    <x v="2"/>
    <x v="2"/>
    <x v="2"/>
    <x v="0"/>
    <x v="0"/>
    <x v="0"/>
    <x v="0"/>
    <x v="0"/>
    <x v="354"/>
    <n v="19172"/>
  </r>
  <r>
    <s v="02/03/2025"/>
    <x v="2"/>
    <x v="2"/>
    <x v="2"/>
    <x v="1"/>
    <x v="0"/>
    <x v="1"/>
    <x v="1"/>
    <x v="1"/>
    <x v="355"/>
    <n v="20505"/>
  </r>
  <r>
    <s v="03/03/2025"/>
    <x v="2"/>
    <x v="2"/>
    <x v="2"/>
    <x v="14"/>
    <x v="1"/>
    <x v="7"/>
    <x v="2"/>
    <x v="20"/>
    <x v="356"/>
    <n v="19773"/>
  </r>
  <r>
    <s v="04/03/2025"/>
    <x v="2"/>
    <x v="2"/>
    <x v="2"/>
    <x v="2"/>
    <x v="1"/>
    <x v="6"/>
    <x v="2"/>
    <x v="30"/>
    <x v="57"/>
    <n v="19410"/>
  </r>
  <r>
    <s v="05/03/2025"/>
    <x v="2"/>
    <x v="2"/>
    <x v="2"/>
    <x v="3"/>
    <x v="1"/>
    <x v="8"/>
    <x v="2"/>
    <x v="13"/>
    <x v="280"/>
    <n v="18336"/>
  </r>
  <r>
    <s v="05/03/2025"/>
    <x v="2"/>
    <x v="2"/>
    <x v="2"/>
    <x v="3"/>
    <x v="1"/>
    <x v="2"/>
    <x v="2"/>
    <x v="8"/>
    <x v="357"/>
    <n v="17969"/>
  </r>
  <r>
    <s v="07/03/2025"/>
    <x v="2"/>
    <x v="2"/>
    <x v="2"/>
    <x v="15"/>
    <x v="1"/>
    <x v="2"/>
    <x v="2"/>
    <x v="4"/>
    <x v="3"/>
    <n v="15969"/>
  </r>
  <r>
    <s v="09/03/2025"/>
    <x v="2"/>
    <x v="2"/>
    <x v="2"/>
    <x v="4"/>
    <x v="1"/>
    <x v="8"/>
    <x v="2"/>
    <x v="12"/>
    <x v="358"/>
    <n v="15578"/>
  </r>
  <r>
    <s v="09/03/2025"/>
    <x v="2"/>
    <x v="2"/>
    <x v="2"/>
    <x v="4"/>
    <x v="1"/>
    <x v="8"/>
    <x v="2"/>
    <x v="27"/>
    <x v="359"/>
    <n v="14594"/>
  </r>
  <r>
    <s v="10/03/2025"/>
    <x v="2"/>
    <x v="2"/>
    <x v="2"/>
    <x v="17"/>
    <x v="1"/>
    <x v="2"/>
    <x v="2"/>
    <x v="14"/>
    <x v="360"/>
    <n v="13815"/>
  </r>
  <r>
    <s v="11/03/2025"/>
    <x v="2"/>
    <x v="2"/>
    <x v="2"/>
    <x v="5"/>
    <x v="1"/>
    <x v="9"/>
    <x v="2"/>
    <x v="26"/>
    <x v="361"/>
    <n v="12669"/>
  </r>
  <r>
    <s v="12/03/2025"/>
    <x v="2"/>
    <x v="2"/>
    <x v="2"/>
    <x v="18"/>
    <x v="0"/>
    <x v="4"/>
    <x v="1"/>
    <x v="6"/>
    <x v="362"/>
    <n v="13001"/>
  </r>
  <r>
    <s v="13/03/2025"/>
    <x v="2"/>
    <x v="2"/>
    <x v="2"/>
    <x v="6"/>
    <x v="1"/>
    <x v="2"/>
    <x v="2"/>
    <x v="17"/>
    <x v="208"/>
    <n v="12751"/>
  </r>
  <r>
    <s v="16/03/2025"/>
    <x v="2"/>
    <x v="2"/>
    <x v="2"/>
    <x v="8"/>
    <x v="1"/>
    <x v="3"/>
    <x v="2"/>
    <x v="16"/>
    <x v="49"/>
    <n v="12525"/>
  </r>
  <r>
    <s v="17/03/2025"/>
    <x v="2"/>
    <x v="2"/>
    <x v="2"/>
    <x v="23"/>
    <x v="1"/>
    <x v="2"/>
    <x v="2"/>
    <x v="3"/>
    <x v="306"/>
    <n v="12388"/>
  </r>
  <r>
    <s v="21/03/2025"/>
    <x v="2"/>
    <x v="2"/>
    <x v="2"/>
    <x v="19"/>
    <x v="1"/>
    <x v="9"/>
    <x v="2"/>
    <x v="26"/>
    <x v="363"/>
    <n v="11293"/>
  </r>
  <r>
    <s v="23/03/2025"/>
    <x v="2"/>
    <x v="2"/>
    <x v="2"/>
    <x v="26"/>
    <x v="1"/>
    <x v="3"/>
    <x v="2"/>
    <x v="18"/>
    <x v="364"/>
    <n v="10836"/>
  </r>
  <r>
    <s v="23/03/2025"/>
    <x v="2"/>
    <x v="2"/>
    <x v="2"/>
    <x v="26"/>
    <x v="1"/>
    <x v="3"/>
    <x v="2"/>
    <x v="28"/>
    <x v="365"/>
    <n v="9903"/>
  </r>
  <r>
    <s v="24/03/2025"/>
    <x v="2"/>
    <x v="2"/>
    <x v="2"/>
    <x v="11"/>
    <x v="1"/>
    <x v="3"/>
    <x v="2"/>
    <x v="25"/>
    <x v="366"/>
    <n v="8839"/>
  </r>
  <r>
    <s v="25/03/2025"/>
    <x v="2"/>
    <x v="2"/>
    <x v="2"/>
    <x v="27"/>
    <x v="1"/>
    <x v="2"/>
    <x v="2"/>
    <x v="2"/>
    <x v="63"/>
    <n v="8666"/>
  </r>
  <r>
    <s v="27/03/2025"/>
    <x v="2"/>
    <x v="2"/>
    <x v="2"/>
    <x v="13"/>
    <x v="0"/>
    <x v="5"/>
    <x v="1"/>
    <x v="7"/>
    <x v="367"/>
    <n v="9319"/>
  </r>
  <r>
    <s v="01/04/2025"/>
    <x v="2"/>
    <x v="3"/>
    <x v="3"/>
    <x v="0"/>
    <x v="0"/>
    <x v="0"/>
    <x v="0"/>
    <x v="0"/>
    <x v="269"/>
    <n v="16267"/>
  </r>
  <r>
    <s v="06/04/2025"/>
    <x v="2"/>
    <x v="3"/>
    <x v="3"/>
    <x v="22"/>
    <x v="1"/>
    <x v="2"/>
    <x v="2"/>
    <x v="8"/>
    <x v="220"/>
    <n v="15911"/>
  </r>
  <r>
    <s v="06/04/2025"/>
    <x v="2"/>
    <x v="3"/>
    <x v="3"/>
    <x v="22"/>
    <x v="1"/>
    <x v="7"/>
    <x v="2"/>
    <x v="20"/>
    <x v="368"/>
    <n v="15203"/>
  </r>
  <r>
    <s v="10/04/2025"/>
    <x v="2"/>
    <x v="3"/>
    <x v="3"/>
    <x v="17"/>
    <x v="1"/>
    <x v="2"/>
    <x v="2"/>
    <x v="2"/>
    <x v="369"/>
    <n v="15034"/>
  </r>
  <r>
    <s v="11/04/2025"/>
    <x v="2"/>
    <x v="3"/>
    <x v="3"/>
    <x v="5"/>
    <x v="1"/>
    <x v="3"/>
    <x v="2"/>
    <x v="28"/>
    <x v="225"/>
    <n v="14869"/>
  </r>
  <r>
    <s v="12/04/2025"/>
    <x v="2"/>
    <x v="3"/>
    <x v="3"/>
    <x v="18"/>
    <x v="1"/>
    <x v="2"/>
    <x v="2"/>
    <x v="4"/>
    <x v="3"/>
    <n v="12869"/>
  </r>
  <r>
    <s v="13/04/2025"/>
    <x v="2"/>
    <x v="3"/>
    <x v="3"/>
    <x v="6"/>
    <x v="1"/>
    <x v="3"/>
    <x v="2"/>
    <x v="33"/>
    <x v="266"/>
    <n v="12170"/>
  </r>
  <r>
    <s v="14/04/2025"/>
    <x v="2"/>
    <x v="3"/>
    <x v="3"/>
    <x v="7"/>
    <x v="0"/>
    <x v="5"/>
    <x v="1"/>
    <x v="7"/>
    <x v="285"/>
    <n v="12632"/>
  </r>
  <r>
    <s v="15/04/2025"/>
    <x v="2"/>
    <x v="3"/>
    <x v="3"/>
    <x v="25"/>
    <x v="1"/>
    <x v="2"/>
    <x v="2"/>
    <x v="14"/>
    <x v="370"/>
    <n v="11783"/>
  </r>
  <r>
    <s v="15/04/2025"/>
    <x v="2"/>
    <x v="3"/>
    <x v="3"/>
    <x v="25"/>
    <x v="1"/>
    <x v="8"/>
    <x v="2"/>
    <x v="13"/>
    <x v="371"/>
    <n v="10905"/>
  </r>
  <r>
    <s v="17/04/2025"/>
    <x v="2"/>
    <x v="3"/>
    <x v="3"/>
    <x v="23"/>
    <x v="1"/>
    <x v="2"/>
    <x v="2"/>
    <x v="3"/>
    <x v="372"/>
    <n v="10789"/>
  </r>
  <r>
    <s v="19/04/2025"/>
    <x v="2"/>
    <x v="3"/>
    <x v="3"/>
    <x v="9"/>
    <x v="1"/>
    <x v="3"/>
    <x v="2"/>
    <x v="16"/>
    <x v="258"/>
    <n v="10576"/>
  </r>
  <r>
    <s v="19/04/2025"/>
    <x v="2"/>
    <x v="3"/>
    <x v="3"/>
    <x v="9"/>
    <x v="1"/>
    <x v="9"/>
    <x v="2"/>
    <x v="21"/>
    <x v="373"/>
    <n v="9638"/>
  </r>
  <r>
    <s v="20/04/2025"/>
    <x v="2"/>
    <x v="3"/>
    <x v="3"/>
    <x v="10"/>
    <x v="1"/>
    <x v="3"/>
    <x v="2"/>
    <x v="18"/>
    <x v="374"/>
    <n v="9044"/>
  </r>
  <r>
    <s v="20/04/2025"/>
    <x v="2"/>
    <x v="3"/>
    <x v="3"/>
    <x v="10"/>
    <x v="1"/>
    <x v="9"/>
    <x v="2"/>
    <x v="19"/>
    <x v="375"/>
    <n v="8414"/>
  </r>
  <r>
    <s v="25/04/2025"/>
    <x v="2"/>
    <x v="3"/>
    <x v="3"/>
    <x v="27"/>
    <x v="1"/>
    <x v="8"/>
    <x v="2"/>
    <x v="12"/>
    <x v="64"/>
    <n v="8114"/>
  </r>
  <r>
    <s v="28/04/2025"/>
    <x v="2"/>
    <x v="3"/>
    <x v="3"/>
    <x v="21"/>
    <x v="1"/>
    <x v="2"/>
    <x v="2"/>
    <x v="17"/>
    <x v="237"/>
    <n v="7874"/>
  </r>
  <r>
    <s v="28/04/2025"/>
    <x v="2"/>
    <x v="3"/>
    <x v="3"/>
    <x v="21"/>
    <x v="0"/>
    <x v="1"/>
    <x v="1"/>
    <x v="1"/>
    <x v="376"/>
    <n v="9402"/>
  </r>
  <r>
    <s v="01/05/2025"/>
    <x v="2"/>
    <x v="4"/>
    <x v="4"/>
    <x v="0"/>
    <x v="0"/>
    <x v="0"/>
    <x v="0"/>
    <x v="0"/>
    <x v="377"/>
    <n v="16488"/>
  </r>
  <r>
    <s v="02/05/2025"/>
    <x v="2"/>
    <x v="4"/>
    <x v="4"/>
    <x v="1"/>
    <x v="0"/>
    <x v="1"/>
    <x v="1"/>
    <x v="1"/>
    <x v="378"/>
    <n v="18335"/>
  </r>
  <r>
    <s v="02/05/2025"/>
    <x v="2"/>
    <x v="4"/>
    <x v="4"/>
    <x v="1"/>
    <x v="1"/>
    <x v="2"/>
    <x v="2"/>
    <x v="4"/>
    <x v="3"/>
    <n v="16335"/>
  </r>
  <r>
    <s v="03/05/2025"/>
    <x v="2"/>
    <x v="4"/>
    <x v="4"/>
    <x v="14"/>
    <x v="1"/>
    <x v="3"/>
    <x v="2"/>
    <x v="33"/>
    <x v="379"/>
    <n v="16102"/>
  </r>
  <r>
    <s v="04/05/2025"/>
    <x v="2"/>
    <x v="4"/>
    <x v="4"/>
    <x v="2"/>
    <x v="1"/>
    <x v="7"/>
    <x v="2"/>
    <x v="20"/>
    <x v="380"/>
    <n v="15368"/>
  </r>
  <r>
    <s v="04/05/2025"/>
    <x v="2"/>
    <x v="4"/>
    <x v="4"/>
    <x v="2"/>
    <x v="1"/>
    <x v="8"/>
    <x v="2"/>
    <x v="13"/>
    <x v="381"/>
    <n v="14465"/>
  </r>
  <r>
    <s v="07/05/2025"/>
    <x v="2"/>
    <x v="4"/>
    <x v="4"/>
    <x v="15"/>
    <x v="1"/>
    <x v="2"/>
    <x v="2"/>
    <x v="3"/>
    <x v="274"/>
    <n v="14304"/>
  </r>
  <r>
    <s v="07/05/2025"/>
    <x v="2"/>
    <x v="4"/>
    <x v="4"/>
    <x v="15"/>
    <x v="1"/>
    <x v="2"/>
    <x v="2"/>
    <x v="14"/>
    <x v="382"/>
    <n v="13465"/>
  </r>
  <r>
    <s v="08/05/2025"/>
    <x v="2"/>
    <x v="4"/>
    <x v="4"/>
    <x v="16"/>
    <x v="1"/>
    <x v="3"/>
    <x v="2"/>
    <x v="18"/>
    <x v="383"/>
    <n v="13054"/>
  </r>
  <r>
    <s v="12/05/2025"/>
    <x v="2"/>
    <x v="4"/>
    <x v="4"/>
    <x v="18"/>
    <x v="1"/>
    <x v="2"/>
    <x v="2"/>
    <x v="8"/>
    <x v="299"/>
    <n v="12763"/>
  </r>
  <r>
    <s v="15/05/2025"/>
    <x v="2"/>
    <x v="4"/>
    <x v="4"/>
    <x v="25"/>
    <x v="1"/>
    <x v="9"/>
    <x v="2"/>
    <x v="26"/>
    <x v="384"/>
    <n v="11798"/>
  </r>
  <r>
    <s v="16/05/2025"/>
    <x v="2"/>
    <x v="4"/>
    <x v="4"/>
    <x v="8"/>
    <x v="1"/>
    <x v="3"/>
    <x v="2"/>
    <x v="16"/>
    <x v="258"/>
    <n v="11585"/>
  </r>
  <r>
    <s v="18/05/2025"/>
    <x v="2"/>
    <x v="4"/>
    <x v="4"/>
    <x v="24"/>
    <x v="1"/>
    <x v="2"/>
    <x v="2"/>
    <x v="23"/>
    <x v="12"/>
    <n v="10529"/>
  </r>
  <r>
    <s v="20/05/2025"/>
    <x v="2"/>
    <x v="4"/>
    <x v="4"/>
    <x v="10"/>
    <x v="1"/>
    <x v="2"/>
    <x v="2"/>
    <x v="17"/>
    <x v="17"/>
    <n v="10275"/>
  </r>
  <r>
    <s v="22/05/2025"/>
    <x v="2"/>
    <x v="4"/>
    <x v="4"/>
    <x v="20"/>
    <x v="1"/>
    <x v="8"/>
    <x v="2"/>
    <x v="12"/>
    <x v="385"/>
    <n v="9880"/>
  </r>
  <r>
    <s v="23/05/2025"/>
    <x v="2"/>
    <x v="4"/>
    <x v="4"/>
    <x v="26"/>
    <x v="0"/>
    <x v="5"/>
    <x v="1"/>
    <x v="7"/>
    <x v="386"/>
    <n v="10554"/>
  </r>
  <r>
    <s v="26/05/2025"/>
    <x v="2"/>
    <x v="4"/>
    <x v="4"/>
    <x v="12"/>
    <x v="1"/>
    <x v="2"/>
    <x v="2"/>
    <x v="2"/>
    <x v="387"/>
    <n v="10391"/>
  </r>
  <r>
    <s v="26/05/2025"/>
    <x v="2"/>
    <x v="4"/>
    <x v="4"/>
    <x v="12"/>
    <x v="1"/>
    <x v="3"/>
    <x v="2"/>
    <x v="22"/>
    <x v="104"/>
    <n v="10009"/>
  </r>
  <r>
    <s v="26/05/2025"/>
    <x v="2"/>
    <x v="4"/>
    <x v="4"/>
    <x v="12"/>
    <x v="1"/>
    <x v="9"/>
    <x v="2"/>
    <x v="32"/>
    <x v="388"/>
    <n v="9508"/>
  </r>
  <r>
    <s v="01/06/2025"/>
    <x v="2"/>
    <x v="5"/>
    <x v="5"/>
    <x v="0"/>
    <x v="0"/>
    <x v="0"/>
    <x v="0"/>
    <x v="0"/>
    <x v="389"/>
    <n v="16235"/>
  </r>
  <r>
    <s v="03/06/2025"/>
    <x v="2"/>
    <x v="5"/>
    <x v="5"/>
    <x v="14"/>
    <x v="0"/>
    <x v="5"/>
    <x v="1"/>
    <x v="7"/>
    <x v="390"/>
    <n v="16488"/>
  </r>
  <r>
    <s v="03/06/2025"/>
    <x v="2"/>
    <x v="5"/>
    <x v="5"/>
    <x v="14"/>
    <x v="1"/>
    <x v="3"/>
    <x v="2"/>
    <x v="18"/>
    <x v="223"/>
    <n v="16058"/>
  </r>
  <r>
    <s v="05/06/2025"/>
    <x v="2"/>
    <x v="5"/>
    <x v="5"/>
    <x v="3"/>
    <x v="1"/>
    <x v="2"/>
    <x v="2"/>
    <x v="2"/>
    <x v="391"/>
    <n v="15922"/>
  </r>
  <r>
    <s v="06/06/2025"/>
    <x v="2"/>
    <x v="5"/>
    <x v="5"/>
    <x v="22"/>
    <x v="1"/>
    <x v="2"/>
    <x v="2"/>
    <x v="3"/>
    <x v="392"/>
    <n v="15789"/>
  </r>
  <r>
    <s v="08/06/2025"/>
    <x v="2"/>
    <x v="5"/>
    <x v="5"/>
    <x v="16"/>
    <x v="0"/>
    <x v="4"/>
    <x v="1"/>
    <x v="6"/>
    <x v="393"/>
    <n v="16370"/>
  </r>
  <r>
    <s v="10/06/2025"/>
    <x v="2"/>
    <x v="5"/>
    <x v="5"/>
    <x v="17"/>
    <x v="1"/>
    <x v="2"/>
    <x v="2"/>
    <x v="14"/>
    <x v="298"/>
    <n v="15527"/>
  </r>
  <r>
    <s v="14/06/2025"/>
    <x v="2"/>
    <x v="5"/>
    <x v="5"/>
    <x v="7"/>
    <x v="1"/>
    <x v="7"/>
    <x v="2"/>
    <x v="20"/>
    <x v="286"/>
    <n v="14776"/>
  </r>
  <r>
    <s v="14/06/2025"/>
    <x v="2"/>
    <x v="5"/>
    <x v="5"/>
    <x v="7"/>
    <x v="0"/>
    <x v="1"/>
    <x v="1"/>
    <x v="1"/>
    <x v="394"/>
    <n v="16603"/>
  </r>
  <r>
    <s v="16/06/2025"/>
    <x v="2"/>
    <x v="5"/>
    <x v="5"/>
    <x v="8"/>
    <x v="1"/>
    <x v="3"/>
    <x v="2"/>
    <x v="16"/>
    <x v="99"/>
    <n v="16364"/>
  </r>
  <r>
    <s v="19/06/2025"/>
    <x v="2"/>
    <x v="5"/>
    <x v="5"/>
    <x v="9"/>
    <x v="1"/>
    <x v="8"/>
    <x v="2"/>
    <x v="13"/>
    <x v="395"/>
    <n v="15081"/>
  </r>
  <r>
    <s v="24/06/2025"/>
    <x v="2"/>
    <x v="5"/>
    <x v="5"/>
    <x v="11"/>
    <x v="1"/>
    <x v="2"/>
    <x v="2"/>
    <x v="17"/>
    <x v="22"/>
    <n v="14838"/>
  </r>
  <r>
    <s v="25/06/2025"/>
    <x v="2"/>
    <x v="5"/>
    <x v="5"/>
    <x v="27"/>
    <x v="1"/>
    <x v="2"/>
    <x v="2"/>
    <x v="8"/>
    <x v="241"/>
    <n v="14531"/>
  </r>
  <r>
    <s v="26/06/2025"/>
    <x v="2"/>
    <x v="5"/>
    <x v="5"/>
    <x v="12"/>
    <x v="1"/>
    <x v="2"/>
    <x v="2"/>
    <x v="4"/>
    <x v="3"/>
    <n v="12531"/>
  </r>
  <r>
    <s v="27/06/2025"/>
    <x v="2"/>
    <x v="5"/>
    <x v="5"/>
    <x v="13"/>
    <x v="1"/>
    <x v="8"/>
    <x v="2"/>
    <x v="12"/>
    <x v="265"/>
    <n v="12234"/>
  </r>
  <r>
    <s v="27/06/2025"/>
    <x v="2"/>
    <x v="5"/>
    <x v="5"/>
    <x v="13"/>
    <x v="1"/>
    <x v="2"/>
    <x v="2"/>
    <x v="23"/>
    <x v="383"/>
    <n v="11823"/>
  </r>
  <r>
    <s v="01/07/2025"/>
    <x v="2"/>
    <x v="6"/>
    <x v="6"/>
    <x v="0"/>
    <x v="0"/>
    <x v="0"/>
    <x v="0"/>
    <x v="0"/>
    <x v="396"/>
    <n v="18799"/>
  </r>
  <r>
    <s v="04/07/2025"/>
    <x v="2"/>
    <x v="6"/>
    <x v="6"/>
    <x v="2"/>
    <x v="0"/>
    <x v="5"/>
    <x v="1"/>
    <x v="7"/>
    <x v="397"/>
    <n v="19272"/>
  </r>
  <r>
    <s v="06/07/2025"/>
    <x v="2"/>
    <x v="6"/>
    <x v="6"/>
    <x v="22"/>
    <x v="1"/>
    <x v="7"/>
    <x v="2"/>
    <x v="24"/>
    <x v="272"/>
    <n v="18565"/>
  </r>
  <r>
    <s v="07/07/2025"/>
    <x v="2"/>
    <x v="6"/>
    <x v="6"/>
    <x v="15"/>
    <x v="1"/>
    <x v="3"/>
    <x v="2"/>
    <x v="5"/>
    <x v="398"/>
    <n v="18101"/>
  </r>
  <r>
    <s v="07/07/2025"/>
    <x v="2"/>
    <x v="6"/>
    <x v="6"/>
    <x v="15"/>
    <x v="1"/>
    <x v="2"/>
    <x v="2"/>
    <x v="17"/>
    <x v="99"/>
    <n v="17862"/>
  </r>
  <r>
    <s v="09/07/2025"/>
    <x v="2"/>
    <x v="6"/>
    <x v="6"/>
    <x v="4"/>
    <x v="1"/>
    <x v="2"/>
    <x v="2"/>
    <x v="3"/>
    <x v="399"/>
    <n v="17731"/>
  </r>
  <r>
    <s v="09/07/2025"/>
    <x v="2"/>
    <x v="6"/>
    <x v="6"/>
    <x v="4"/>
    <x v="1"/>
    <x v="2"/>
    <x v="2"/>
    <x v="4"/>
    <x v="3"/>
    <n v="15731"/>
  </r>
  <r>
    <s v="11/07/2025"/>
    <x v="2"/>
    <x v="6"/>
    <x v="6"/>
    <x v="5"/>
    <x v="1"/>
    <x v="2"/>
    <x v="2"/>
    <x v="8"/>
    <x v="357"/>
    <n v="15364"/>
  </r>
  <r>
    <s v="15/07/2025"/>
    <x v="2"/>
    <x v="6"/>
    <x v="6"/>
    <x v="25"/>
    <x v="1"/>
    <x v="2"/>
    <x v="2"/>
    <x v="14"/>
    <x v="400"/>
    <n v="14440"/>
  </r>
  <r>
    <s v="18/07/2025"/>
    <x v="2"/>
    <x v="6"/>
    <x v="6"/>
    <x v="24"/>
    <x v="1"/>
    <x v="2"/>
    <x v="2"/>
    <x v="2"/>
    <x v="188"/>
    <n v="14298"/>
  </r>
  <r>
    <s v="18/07/2025"/>
    <x v="2"/>
    <x v="6"/>
    <x v="6"/>
    <x v="24"/>
    <x v="1"/>
    <x v="8"/>
    <x v="2"/>
    <x v="12"/>
    <x v="401"/>
    <n v="14027"/>
  </r>
  <r>
    <s v="22/07/2025"/>
    <x v="2"/>
    <x v="6"/>
    <x v="6"/>
    <x v="20"/>
    <x v="1"/>
    <x v="8"/>
    <x v="2"/>
    <x v="13"/>
    <x v="96"/>
    <n v="13139"/>
  </r>
  <r>
    <s v="22/07/2025"/>
    <x v="2"/>
    <x v="6"/>
    <x v="6"/>
    <x v="20"/>
    <x v="1"/>
    <x v="3"/>
    <x v="2"/>
    <x v="16"/>
    <x v="240"/>
    <n v="12905"/>
  </r>
  <r>
    <s v="23/07/2025"/>
    <x v="2"/>
    <x v="6"/>
    <x v="6"/>
    <x v="26"/>
    <x v="1"/>
    <x v="7"/>
    <x v="2"/>
    <x v="24"/>
    <x v="402"/>
    <n v="11926"/>
  </r>
  <r>
    <s v="24/07/2025"/>
    <x v="2"/>
    <x v="6"/>
    <x v="6"/>
    <x v="11"/>
    <x v="0"/>
    <x v="1"/>
    <x v="1"/>
    <x v="1"/>
    <x v="403"/>
    <n v="13267"/>
  </r>
  <r>
    <s v="25/07/2025"/>
    <x v="2"/>
    <x v="6"/>
    <x v="6"/>
    <x v="27"/>
    <x v="1"/>
    <x v="3"/>
    <x v="2"/>
    <x v="18"/>
    <x v="374"/>
    <n v="12673"/>
  </r>
  <r>
    <s v="26/07/2025"/>
    <x v="2"/>
    <x v="6"/>
    <x v="6"/>
    <x v="12"/>
    <x v="1"/>
    <x v="7"/>
    <x v="2"/>
    <x v="20"/>
    <x v="404"/>
    <n v="11994"/>
  </r>
  <r>
    <s v="01/08/2025"/>
    <x v="2"/>
    <x v="7"/>
    <x v="7"/>
    <x v="0"/>
    <x v="0"/>
    <x v="0"/>
    <x v="0"/>
    <x v="0"/>
    <x v="405"/>
    <n v="19073"/>
  </r>
  <r>
    <s v="03/08/2025"/>
    <x v="2"/>
    <x v="7"/>
    <x v="7"/>
    <x v="14"/>
    <x v="1"/>
    <x v="6"/>
    <x v="2"/>
    <x v="15"/>
    <x v="406"/>
    <n v="18660"/>
  </r>
  <r>
    <s v="03/08/2025"/>
    <x v="2"/>
    <x v="7"/>
    <x v="7"/>
    <x v="14"/>
    <x v="1"/>
    <x v="2"/>
    <x v="2"/>
    <x v="2"/>
    <x v="407"/>
    <n v="18520"/>
  </r>
  <r>
    <s v="03/08/2025"/>
    <x v="2"/>
    <x v="7"/>
    <x v="7"/>
    <x v="14"/>
    <x v="1"/>
    <x v="3"/>
    <x v="2"/>
    <x v="33"/>
    <x v="408"/>
    <n v="18152"/>
  </r>
  <r>
    <s v="03/08/2025"/>
    <x v="2"/>
    <x v="7"/>
    <x v="7"/>
    <x v="14"/>
    <x v="1"/>
    <x v="3"/>
    <x v="2"/>
    <x v="18"/>
    <x v="409"/>
    <n v="17718"/>
  </r>
  <r>
    <s v="04/08/2025"/>
    <x v="2"/>
    <x v="7"/>
    <x v="7"/>
    <x v="2"/>
    <x v="1"/>
    <x v="2"/>
    <x v="2"/>
    <x v="17"/>
    <x v="390"/>
    <n v="17465"/>
  </r>
  <r>
    <s v="04/08/2025"/>
    <x v="2"/>
    <x v="7"/>
    <x v="7"/>
    <x v="2"/>
    <x v="1"/>
    <x v="2"/>
    <x v="2"/>
    <x v="4"/>
    <x v="3"/>
    <n v="15465"/>
  </r>
  <r>
    <s v="11/08/2025"/>
    <x v="2"/>
    <x v="7"/>
    <x v="7"/>
    <x v="5"/>
    <x v="1"/>
    <x v="2"/>
    <x v="2"/>
    <x v="14"/>
    <x v="234"/>
    <n v="14575"/>
  </r>
  <r>
    <s v="11/08/2025"/>
    <x v="2"/>
    <x v="7"/>
    <x v="7"/>
    <x v="5"/>
    <x v="1"/>
    <x v="8"/>
    <x v="2"/>
    <x v="29"/>
    <x v="410"/>
    <n v="13724"/>
  </r>
  <r>
    <s v="12/08/2025"/>
    <x v="2"/>
    <x v="7"/>
    <x v="7"/>
    <x v="18"/>
    <x v="1"/>
    <x v="8"/>
    <x v="2"/>
    <x v="27"/>
    <x v="357"/>
    <n v="13357"/>
  </r>
  <r>
    <s v="13/08/2025"/>
    <x v="2"/>
    <x v="7"/>
    <x v="7"/>
    <x v="6"/>
    <x v="1"/>
    <x v="9"/>
    <x v="2"/>
    <x v="31"/>
    <x v="246"/>
    <n v="12972"/>
  </r>
  <r>
    <s v="18/08/2025"/>
    <x v="2"/>
    <x v="7"/>
    <x v="7"/>
    <x v="24"/>
    <x v="1"/>
    <x v="9"/>
    <x v="2"/>
    <x v="26"/>
    <x v="411"/>
    <n v="11839"/>
  </r>
  <r>
    <s v="18/08/2025"/>
    <x v="2"/>
    <x v="7"/>
    <x v="7"/>
    <x v="24"/>
    <x v="1"/>
    <x v="8"/>
    <x v="2"/>
    <x v="13"/>
    <x v="412"/>
    <n v="10803"/>
  </r>
  <r>
    <s v="20/08/2025"/>
    <x v="2"/>
    <x v="7"/>
    <x v="7"/>
    <x v="10"/>
    <x v="1"/>
    <x v="8"/>
    <x v="2"/>
    <x v="12"/>
    <x v="128"/>
    <n v="10474"/>
  </r>
  <r>
    <s v="20/08/2025"/>
    <x v="2"/>
    <x v="7"/>
    <x v="7"/>
    <x v="10"/>
    <x v="0"/>
    <x v="5"/>
    <x v="1"/>
    <x v="7"/>
    <x v="413"/>
    <n v="10752"/>
  </r>
  <r>
    <s v="22/08/2025"/>
    <x v="2"/>
    <x v="7"/>
    <x v="7"/>
    <x v="20"/>
    <x v="1"/>
    <x v="2"/>
    <x v="2"/>
    <x v="3"/>
    <x v="126"/>
    <n v="10592"/>
  </r>
  <r>
    <s v="26/08/2025"/>
    <x v="2"/>
    <x v="7"/>
    <x v="7"/>
    <x v="12"/>
    <x v="1"/>
    <x v="7"/>
    <x v="2"/>
    <x v="24"/>
    <x v="414"/>
    <n v="9695"/>
  </r>
  <r>
    <s v="27/08/2025"/>
    <x v="2"/>
    <x v="7"/>
    <x v="7"/>
    <x v="13"/>
    <x v="0"/>
    <x v="1"/>
    <x v="1"/>
    <x v="1"/>
    <x v="172"/>
    <n v="10857"/>
  </r>
  <r>
    <s v="27/08/2025"/>
    <x v="2"/>
    <x v="7"/>
    <x v="7"/>
    <x v="13"/>
    <x v="1"/>
    <x v="7"/>
    <x v="2"/>
    <x v="24"/>
    <x v="415"/>
    <n v="10690"/>
  </r>
  <r>
    <s v="27/08/2025"/>
    <x v="2"/>
    <x v="7"/>
    <x v="7"/>
    <x v="13"/>
    <x v="1"/>
    <x v="7"/>
    <x v="2"/>
    <x v="20"/>
    <x v="416"/>
    <n v="9957"/>
  </r>
  <r>
    <s v="27/08/2025"/>
    <x v="2"/>
    <x v="7"/>
    <x v="7"/>
    <x v="13"/>
    <x v="1"/>
    <x v="3"/>
    <x v="2"/>
    <x v="28"/>
    <x v="401"/>
    <n v="9686"/>
  </r>
  <r>
    <s v="27/08/2025"/>
    <x v="2"/>
    <x v="7"/>
    <x v="7"/>
    <x v="13"/>
    <x v="1"/>
    <x v="3"/>
    <x v="2"/>
    <x v="16"/>
    <x v="417"/>
    <n v="9463"/>
  </r>
  <r>
    <s v="28/08/2025"/>
    <x v="2"/>
    <x v="7"/>
    <x v="7"/>
    <x v="21"/>
    <x v="1"/>
    <x v="2"/>
    <x v="2"/>
    <x v="8"/>
    <x v="111"/>
    <n v="9184"/>
  </r>
  <r>
    <s v="01/09/2025"/>
    <x v="2"/>
    <x v="8"/>
    <x v="8"/>
    <x v="0"/>
    <x v="0"/>
    <x v="0"/>
    <x v="0"/>
    <x v="0"/>
    <x v="418"/>
    <n v="15933"/>
  </r>
  <r>
    <s v="04/09/2025"/>
    <x v="2"/>
    <x v="8"/>
    <x v="8"/>
    <x v="2"/>
    <x v="1"/>
    <x v="2"/>
    <x v="2"/>
    <x v="8"/>
    <x v="28"/>
    <n v="15650"/>
  </r>
  <r>
    <s v="08/09/2025"/>
    <x v="2"/>
    <x v="8"/>
    <x v="8"/>
    <x v="16"/>
    <x v="1"/>
    <x v="3"/>
    <x v="2"/>
    <x v="5"/>
    <x v="136"/>
    <n v="14595"/>
  </r>
  <r>
    <s v="12/09/2025"/>
    <x v="2"/>
    <x v="8"/>
    <x v="8"/>
    <x v="18"/>
    <x v="1"/>
    <x v="2"/>
    <x v="2"/>
    <x v="17"/>
    <x v="314"/>
    <n v="14337"/>
  </r>
  <r>
    <s v="13/09/2025"/>
    <x v="2"/>
    <x v="8"/>
    <x v="8"/>
    <x v="6"/>
    <x v="0"/>
    <x v="5"/>
    <x v="1"/>
    <x v="7"/>
    <x v="292"/>
    <n v="14745"/>
  </r>
  <r>
    <s v="13/09/2025"/>
    <x v="2"/>
    <x v="8"/>
    <x v="8"/>
    <x v="6"/>
    <x v="1"/>
    <x v="3"/>
    <x v="2"/>
    <x v="16"/>
    <x v="59"/>
    <n v="14546"/>
  </r>
  <r>
    <s v="14/09/2025"/>
    <x v="2"/>
    <x v="8"/>
    <x v="8"/>
    <x v="7"/>
    <x v="1"/>
    <x v="2"/>
    <x v="2"/>
    <x v="3"/>
    <x v="117"/>
    <n v="14398"/>
  </r>
  <r>
    <s v="18/09/2025"/>
    <x v="2"/>
    <x v="8"/>
    <x v="8"/>
    <x v="24"/>
    <x v="1"/>
    <x v="7"/>
    <x v="2"/>
    <x v="20"/>
    <x v="419"/>
    <n v="13755"/>
  </r>
  <r>
    <s v="21/09/2025"/>
    <x v="2"/>
    <x v="8"/>
    <x v="8"/>
    <x v="19"/>
    <x v="1"/>
    <x v="2"/>
    <x v="2"/>
    <x v="2"/>
    <x v="59"/>
    <n v="13556"/>
  </r>
  <r>
    <s v="21/09/2025"/>
    <x v="2"/>
    <x v="8"/>
    <x v="8"/>
    <x v="19"/>
    <x v="1"/>
    <x v="9"/>
    <x v="2"/>
    <x v="32"/>
    <x v="420"/>
    <n v="13228"/>
  </r>
  <r>
    <s v="23/09/2025"/>
    <x v="2"/>
    <x v="8"/>
    <x v="8"/>
    <x v="26"/>
    <x v="1"/>
    <x v="8"/>
    <x v="2"/>
    <x v="13"/>
    <x v="421"/>
    <n v="12016"/>
  </r>
  <r>
    <s v="23/09/2025"/>
    <x v="2"/>
    <x v="8"/>
    <x v="8"/>
    <x v="26"/>
    <x v="1"/>
    <x v="3"/>
    <x v="2"/>
    <x v="18"/>
    <x v="422"/>
    <n v="11590"/>
  </r>
  <r>
    <s v="23/09/2025"/>
    <x v="2"/>
    <x v="8"/>
    <x v="8"/>
    <x v="26"/>
    <x v="0"/>
    <x v="1"/>
    <x v="1"/>
    <x v="1"/>
    <x v="423"/>
    <n v="12479"/>
  </r>
  <r>
    <s v="23/09/2025"/>
    <x v="2"/>
    <x v="8"/>
    <x v="8"/>
    <x v="26"/>
    <x v="1"/>
    <x v="2"/>
    <x v="2"/>
    <x v="14"/>
    <x v="424"/>
    <n v="11608"/>
  </r>
  <r>
    <s v="24/09/2025"/>
    <x v="2"/>
    <x v="8"/>
    <x v="8"/>
    <x v="11"/>
    <x v="1"/>
    <x v="2"/>
    <x v="2"/>
    <x v="4"/>
    <x v="3"/>
    <n v="9608"/>
  </r>
  <r>
    <s v="25/09/2025"/>
    <x v="2"/>
    <x v="8"/>
    <x v="8"/>
    <x v="27"/>
    <x v="1"/>
    <x v="7"/>
    <x v="2"/>
    <x v="11"/>
    <x v="425"/>
    <n v="9209"/>
  </r>
  <r>
    <s v="25/09/2025"/>
    <x v="2"/>
    <x v="8"/>
    <x v="8"/>
    <x v="27"/>
    <x v="1"/>
    <x v="8"/>
    <x v="2"/>
    <x v="12"/>
    <x v="287"/>
    <n v="8809"/>
  </r>
  <r>
    <s v="01/10/2025"/>
    <x v="2"/>
    <x v="9"/>
    <x v="9"/>
    <x v="0"/>
    <x v="0"/>
    <x v="0"/>
    <x v="0"/>
    <x v="0"/>
    <x v="426"/>
    <n v="15915"/>
  </r>
  <r>
    <s v="02/10/2025"/>
    <x v="2"/>
    <x v="9"/>
    <x v="9"/>
    <x v="1"/>
    <x v="1"/>
    <x v="2"/>
    <x v="2"/>
    <x v="23"/>
    <x v="427"/>
    <n v="15396"/>
  </r>
  <r>
    <s v="02/10/2025"/>
    <x v="2"/>
    <x v="9"/>
    <x v="9"/>
    <x v="1"/>
    <x v="1"/>
    <x v="9"/>
    <x v="2"/>
    <x v="26"/>
    <x v="428"/>
    <n v="14621"/>
  </r>
  <r>
    <s v="04/10/2025"/>
    <x v="2"/>
    <x v="9"/>
    <x v="9"/>
    <x v="2"/>
    <x v="1"/>
    <x v="2"/>
    <x v="2"/>
    <x v="10"/>
    <x v="288"/>
    <n v="13771"/>
  </r>
  <r>
    <s v="06/10/2025"/>
    <x v="2"/>
    <x v="9"/>
    <x v="9"/>
    <x v="22"/>
    <x v="1"/>
    <x v="8"/>
    <x v="2"/>
    <x v="27"/>
    <x v="293"/>
    <n v="13412"/>
  </r>
  <r>
    <s v="07/10/2025"/>
    <x v="2"/>
    <x v="9"/>
    <x v="9"/>
    <x v="15"/>
    <x v="1"/>
    <x v="3"/>
    <x v="2"/>
    <x v="18"/>
    <x v="37"/>
    <n v="12862"/>
  </r>
  <r>
    <s v="09/10/2025"/>
    <x v="2"/>
    <x v="9"/>
    <x v="9"/>
    <x v="4"/>
    <x v="0"/>
    <x v="1"/>
    <x v="1"/>
    <x v="1"/>
    <x v="429"/>
    <n v="14371"/>
  </r>
  <r>
    <s v="09/10/2025"/>
    <x v="2"/>
    <x v="9"/>
    <x v="9"/>
    <x v="4"/>
    <x v="1"/>
    <x v="2"/>
    <x v="2"/>
    <x v="2"/>
    <x v="387"/>
    <n v="14208"/>
  </r>
  <r>
    <s v="11/10/2025"/>
    <x v="2"/>
    <x v="9"/>
    <x v="9"/>
    <x v="5"/>
    <x v="1"/>
    <x v="8"/>
    <x v="2"/>
    <x v="12"/>
    <x v="6"/>
    <n v="13844"/>
  </r>
  <r>
    <s v="16/10/2025"/>
    <x v="2"/>
    <x v="9"/>
    <x v="9"/>
    <x v="8"/>
    <x v="1"/>
    <x v="8"/>
    <x v="2"/>
    <x v="13"/>
    <x v="430"/>
    <n v="12765"/>
  </r>
  <r>
    <s v="16/10/2025"/>
    <x v="2"/>
    <x v="9"/>
    <x v="9"/>
    <x v="8"/>
    <x v="1"/>
    <x v="2"/>
    <x v="2"/>
    <x v="14"/>
    <x v="431"/>
    <n v="11937"/>
  </r>
  <r>
    <s v="18/10/2025"/>
    <x v="2"/>
    <x v="9"/>
    <x v="9"/>
    <x v="24"/>
    <x v="1"/>
    <x v="7"/>
    <x v="2"/>
    <x v="20"/>
    <x v="432"/>
    <n v="11233"/>
  </r>
  <r>
    <s v="18/10/2025"/>
    <x v="2"/>
    <x v="9"/>
    <x v="9"/>
    <x v="24"/>
    <x v="1"/>
    <x v="6"/>
    <x v="2"/>
    <x v="30"/>
    <x v="433"/>
    <n v="10253"/>
  </r>
  <r>
    <s v="21/10/2025"/>
    <x v="2"/>
    <x v="9"/>
    <x v="9"/>
    <x v="19"/>
    <x v="0"/>
    <x v="5"/>
    <x v="1"/>
    <x v="7"/>
    <x v="385"/>
    <n v="10648"/>
  </r>
  <r>
    <s v="23/10/2025"/>
    <x v="2"/>
    <x v="9"/>
    <x v="9"/>
    <x v="26"/>
    <x v="1"/>
    <x v="2"/>
    <x v="2"/>
    <x v="17"/>
    <x v="138"/>
    <n v="10387"/>
  </r>
  <r>
    <s v="27/10/2025"/>
    <x v="2"/>
    <x v="9"/>
    <x v="9"/>
    <x v="13"/>
    <x v="1"/>
    <x v="2"/>
    <x v="2"/>
    <x v="4"/>
    <x v="3"/>
    <n v="8387"/>
  </r>
  <r>
    <s v="27/10/2025"/>
    <x v="2"/>
    <x v="9"/>
    <x v="9"/>
    <x v="13"/>
    <x v="1"/>
    <x v="3"/>
    <x v="2"/>
    <x v="16"/>
    <x v="434"/>
    <n v="8162"/>
  </r>
  <r>
    <s v="27/10/2025"/>
    <x v="2"/>
    <x v="9"/>
    <x v="9"/>
    <x v="13"/>
    <x v="1"/>
    <x v="2"/>
    <x v="2"/>
    <x v="8"/>
    <x v="435"/>
    <n v="7787"/>
  </r>
  <r>
    <s v="28/10/2025"/>
    <x v="2"/>
    <x v="9"/>
    <x v="9"/>
    <x v="21"/>
    <x v="1"/>
    <x v="2"/>
    <x v="2"/>
    <x v="3"/>
    <x v="436"/>
    <n v="7664"/>
  </r>
  <r>
    <s v="28/10/2025"/>
    <x v="2"/>
    <x v="9"/>
    <x v="9"/>
    <x v="21"/>
    <x v="1"/>
    <x v="9"/>
    <x v="2"/>
    <x v="19"/>
    <x v="437"/>
    <n v="7150"/>
  </r>
  <r>
    <s v="01/11/2025"/>
    <x v="2"/>
    <x v="10"/>
    <x v="10"/>
    <x v="0"/>
    <x v="0"/>
    <x v="0"/>
    <x v="0"/>
    <x v="0"/>
    <x v="438"/>
    <n v="13873"/>
  </r>
  <r>
    <s v="03/11/2025"/>
    <x v="2"/>
    <x v="10"/>
    <x v="10"/>
    <x v="14"/>
    <x v="1"/>
    <x v="7"/>
    <x v="2"/>
    <x v="20"/>
    <x v="439"/>
    <n v="13210"/>
  </r>
  <r>
    <s v="04/11/2025"/>
    <x v="2"/>
    <x v="10"/>
    <x v="10"/>
    <x v="2"/>
    <x v="1"/>
    <x v="2"/>
    <x v="2"/>
    <x v="2"/>
    <x v="306"/>
    <n v="13073"/>
  </r>
  <r>
    <s v="05/11/2025"/>
    <x v="2"/>
    <x v="10"/>
    <x v="10"/>
    <x v="3"/>
    <x v="1"/>
    <x v="8"/>
    <x v="2"/>
    <x v="13"/>
    <x v="440"/>
    <n v="11821"/>
  </r>
  <r>
    <s v="08/11/2025"/>
    <x v="2"/>
    <x v="10"/>
    <x v="10"/>
    <x v="16"/>
    <x v="1"/>
    <x v="2"/>
    <x v="2"/>
    <x v="8"/>
    <x v="441"/>
    <n v="11437"/>
  </r>
  <r>
    <s v="09/11/2025"/>
    <x v="2"/>
    <x v="10"/>
    <x v="10"/>
    <x v="4"/>
    <x v="1"/>
    <x v="8"/>
    <x v="2"/>
    <x v="12"/>
    <x v="114"/>
    <n v="11149"/>
  </r>
  <r>
    <s v="16/11/2025"/>
    <x v="2"/>
    <x v="10"/>
    <x v="10"/>
    <x v="8"/>
    <x v="1"/>
    <x v="3"/>
    <x v="2"/>
    <x v="16"/>
    <x v="442"/>
    <n v="10948"/>
  </r>
  <r>
    <s v="16/11/2025"/>
    <x v="2"/>
    <x v="10"/>
    <x v="10"/>
    <x v="8"/>
    <x v="1"/>
    <x v="2"/>
    <x v="2"/>
    <x v="4"/>
    <x v="3"/>
    <n v="8948"/>
  </r>
  <r>
    <s v="19/11/2025"/>
    <x v="2"/>
    <x v="10"/>
    <x v="10"/>
    <x v="9"/>
    <x v="1"/>
    <x v="2"/>
    <x v="2"/>
    <x v="3"/>
    <x v="225"/>
    <n v="8783"/>
  </r>
  <r>
    <s v="20/11/2025"/>
    <x v="2"/>
    <x v="10"/>
    <x v="10"/>
    <x v="10"/>
    <x v="1"/>
    <x v="8"/>
    <x v="2"/>
    <x v="27"/>
    <x v="443"/>
    <n v="8231"/>
  </r>
  <r>
    <s v="21/11/2025"/>
    <x v="2"/>
    <x v="10"/>
    <x v="10"/>
    <x v="19"/>
    <x v="1"/>
    <x v="2"/>
    <x v="2"/>
    <x v="17"/>
    <x v="43"/>
    <n v="7980"/>
  </r>
  <r>
    <s v="21/11/2025"/>
    <x v="2"/>
    <x v="10"/>
    <x v="10"/>
    <x v="19"/>
    <x v="1"/>
    <x v="2"/>
    <x v="2"/>
    <x v="14"/>
    <x v="444"/>
    <n v="7214"/>
  </r>
  <r>
    <s v="22/11/2025"/>
    <x v="2"/>
    <x v="10"/>
    <x v="10"/>
    <x v="20"/>
    <x v="1"/>
    <x v="3"/>
    <x v="2"/>
    <x v="18"/>
    <x v="445"/>
    <n v="6671"/>
  </r>
  <r>
    <s v="24/11/2025"/>
    <x v="2"/>
    <x v="10"/>
    <x v="10"/>
    <x v="11"/>
    <x v="0"/>
    <x v="4"/>
    <x v="1"/>
    <x v="6"/>
    <x v="446"/>
    <n v="7931"/>
  </r>
  <r>
    <s v="24/11/2025"/>
    <x v="2"/>
    <x v="10"/>
    <x v="10"/>
    <x v="11"/>
    <x v="0"/>
    <x v="5"/>
    <x v="1"/>
    <x v="7"/>
    <x v="447"/>
    <n v="8606"/>
  </r>
  <r>
    <s v="28/11/2025"/>
    <x v="2"/>
    <x v="10"/>
    <x v="10"/>
    <x v="21"/>
    <x v="0"/>
    <x v="1"/>
    <x v="1"/>
    <x v="1"/>
    <x v="448"/>
    <n v="10173"/>
  </r>
  <r>
    <s v="01/12/2025"/>
    <x v="2"/>
    <x v="11"/>
    <x v="11"/>
    <x v="0"/>
    <x v="0"/>
    <x v="0"/>
    <x v="0"/>
    <x v="0"/>
    <x v="449"/>
    <n v="17123"/>
  </r>
  <r>
    <s v="04/12/2025"/>
    <x v="2"/>
    <x v="11"/>
    <x v="11"/>
    <x v="2"/>
    <x v="0"/>
    <x v="5"/>
    <x v="1"/>
    <x v="7"/>
    <x v="450"/>
    <n v="17641"/>
  </r>
  <r>
    <s v="04/12/2025"/>
    <x v="2"/>
    <x v="11"/>
    <x v="11"/>
    <x v="2"/>
    <x v="1"/>
    <x v="2"/>
    <x v="2"/>
    <x v="4"/>
    <x v="3"/>
    <n v="15641"/>
  </r>
  <r>
    <s v="10/12/2025"/>
    <x v="2"/>
    <x v="11"/>
    <x v="11"/>
    <x v="17"/>
    <x v="1"/>
    <x v="8"/>
    <x v="2"/>
    <x v="13"/>
    <x v="451"/>
    <n v="14405"/>
  </r>
  <r>
    <s v="13/12/2025"/>
    <x v="2"/>
    <x v="11"/>
    <x v="11"/>
    <x v="6"/>
    <x v="1"/>
    <x v="7"/>
    <x v="2"/>
    <x v="20"/>
    <x v="199"/>
    <n v="13741"/>
  </r>
  <r>
    <s v="13/12/2025"/>
    <x v="2"/>
    <x v="11"/>
    <x v="11"/>
    <x v="6"/>
    <x v="1"/>
    <x v="8"/>
    <x v="2"/>
    <x v="12"/>
    <x v="452"/>
    <n v="13375"/>
  </r>
  <r>
    <s v="14/12/2025"/>
    <x v="2"/>
    <x v="11"/>
    <x v="11"/>
    <x v="7"/>
    <x v="1"/>
    <x v="2"/>
    <x v="2"/>
    <x v="17"/>
    <x v="77"/>
    <n v="13113"/>
  </r>
  <r>
    <s v="17/12/2025"/>
    <x v="2"/>
    <x v="11"/>
    <x v="11"/>
    <x v="23"/>
    <x v="1"/>
    <x v="2"/>
    <x v="2"/>
    <x v="3"/>
    <x v="184"/>
    <n v="12999"/>
  </r>
  <r>
    <s v="18/12/2025"/>
    <x v="2"/>
    <x v="11"/>
    <x v="11"/>
    <x v="24"/>
    <x v="1"/>
    <x v="2"/>
    <x v="2"/>
    <x v="14"/>
    <x v="453"/>
    <n v="12087"/>
  </r>
  <r>
    <s v="19/12/2025"/>
    <x v="2"/>
    <x v="11"/>
    <x v="11"/>
    <x v="9"/>
    <x v="1"/>
    <x v="2"/>
    <x v="2"/>
    <x v="8"/>
    <x v="454"/>
    <n v="11859"/>
  </r>
  <r>
    <s v="23/12/2025"/>
    <x v="2"/>
    <x v="11"/>
    <x v="11"/>
    <x v="26"/>
    <x v="0"/>
    <x v="1"/>
    <x v="1"/>
    <x v="1"/>
    <x v="455"/>
    <n v="13827"/>
  </r>
  <r>
    <s v="23/12/2025"/>
    <x v="2"/>
    <x v="11"/>
    <x v="11"/>
    <x v="26"/>
    <x v="1"/>
    <x v="3"/>
    <x v="2"/>
    <x v="18"/>
    <x v="456"/>
    <n v="13337"/>
  </r>
  <r>
    <s v="26/12/2025"/>
    <x v="2"/>
    <x v="11"/>
    <x v="11"/>
    <x v="12"/>
    <x v="1"/>
    <x v="3"/>
    <x v="2"/>
    <x v="16"/>
    <x v="200"/>
    <n v="13113"/>
  </r>
  <r>
    <s v="27/12/2025"/>
    <x v="2"/>
    <x v="11"/>
    <x v="11"/>
    <x v="13"/>
    <x v="1"/>
    <x v="2"/>
    <x v="2"/>
    <x v="2"/>
    <x v="200"/>
    <n v="128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29B7F0-95FE-4D98-932F-A7FD3A77CAE2}" name="t_mes_receita"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16" firstHeaderRow="1" firstDataRow="2" firstDataCol="1" rowPageCount="1" colPageCount="1"/>
  <pivotFields count="12">
    <pivotField showAll="0" defaultSubtotal="0"/>
    <pivotField showAll="0" defaultSubtotal="0">
      <items count="3">
        <item x="0"/>
        <item h="1" x="1"/>
        <item h="1" x="2"/>
      </items>
    </pivotField>
    <pivotField axis="axisRow" showAll="0" defaultSubtotal="0">
      <items count="12">
        <item x="0"/>
        <item x="1"/>
        <item x="2"/>
        <item x="3"/>
        <item x="4"/>
        <item x="5"/>
        <item x="6"/>
        <item x="7"/>
        <item x="8"/>
        <item x="9"/>
        <item x="10"/>
        <item x="11"/>
      </items>
    </pivotField>
    <pivotField showAll="0" defaultSubtotal="0"/>
    <pivotField subtotalTop="0" showAll="0" defaultSubtotal="0"/>
    <pivotField axis="axisPage" showAll="0" defaultSubtotal="0">
      <items count="2">
        <item x="1"/>
        <item x="0"/>
      </items>
    </pivotField>
    <pivotField showAll="0" defaultSubtotal="0"/>
    <pivotField axis="axisCol" showAll="0" sortType="descending" defaultSubtotal="0">
      <items count="3">
        <item x="0"/>
        <item x="1"/>
        <item x="2"/>
      </items>
    </pivotField>
    <pivotField showAll="0" defaultSubtotal="0"/>
    <pivotField dataField="1" numFmtId="164" showAll="0" defaultSubtotal="0"/>
    <pivotField numFmtId="164" showAll="0" defaultSubtotal="0"/>
    <pivotField dragToRow="0" dragToCol="0" dragToPage="0" showAll="0" defaultSubtotal="0"/>
  </pivotFields>
  <rowFields count="1">
    <field x="2"/>
  </rowFields>
  <rowItems count="12">
    <i>
      <x/>
    </i>
    <i>
      <x v="1"/>
    </i>
    <i>
      <x v="2"/>
    </i>
    <i>
      <x v="3"/>
    </i>
    <i>
      <x v="4"/>
    </i>
    <i>
      <x v="5"/>
    </i>
    <i>
      <x v="6"/>
    </i>
    <i>
      <x v="7"/>
    </i>
    <i>
      <x v="8"/>
    </i>
    <i>
      <x v="9"/>
    </i>
    <i>
      <x v="10"/>
    </i>
    <i>
      <x v="11"/>
    </i>
  </rowItems>
  <colFields count="1">
    <field x="7"/>
  </colFields>
  <colItems count="2">
    <i>
      <x/>
    </i>
    <i>
      <x v="1"/>
    </i>
  </colItems>
  <pageFields count="1">
    <pageField fld="5" item="1" hier="-1"/>
  </pageFields>
  <dataFields count="1">
    <dataField name="Sum of Valor" fld="9" baseField="0" baseItem="0" numFmtId="164"/>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7" count="1" selected="0">
            <x v="0"/>
          </reference>
        </references>
      </pivotArea>
    </chartFormat>
    <chartFormat chart="3" format="8"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83296F-9244-4A4E-AD83-F8FE801304A1}" name="t_mes_saldo"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U8:W20" firstHeaderRow="0" firstDataRow="1" firstDataCol="1" rowPageCount="1" colPageCount="1"/>
  <pivotFields count="12">
    <pivotField showAll="0" defaultSubtotal="0"/>
    <pivotField showAll="0" defaultSubtotal="0">
      <items count="3">
        <item x="0"/>
        <item h="1" x="1"/>
        <item h="1" x="2"/>
      </items>
    </pivotField>
    <pivotField axis="axisRow" showAll="0" defaultSubtotal="0">
      <items count="12">
        <item x="0"/>
        <item x="1"/>
        <item x="2"/>
        <item x="3"/>
        <item x="4"/>
        <item x="5"/>
        <item x="6"/>
        <item x="7"/>
        <item x="8"/>
        <item x="9"/>
        <item x="10"/>
        <item x="11"/>
      </items>
    </pivotField>
    <pivotField showAll="0" defaultSubtotal="0"/>
    <pivotField axis="axisPage" subtotalTop="0" showAll="0" defaultSubtotal="0">
      <items count="28">
        <item x="0"/>
        <item x="1"/>
        <item x="14"/>
        <item x="2"/>
        <item x="3"/>
        <item x="22"/>
        <item x="15"/>
        <item x="16"/>
        <item x="4"/>
        <item x="17"/>
        <item x="5"/>
        <item x="18"/>
        <item x="6"/>
        <item x="7"/>
        <item x="25"/>
        <item x="8"/>
        <item x="23"/>
        <item x="24"/>
        <item x="9"/>
        <item x="10"/>
        <item x="19"/>
        <item x="20"/>
        <item x="26"/>
        <item x="11"/>
        <item x="27"/>
        <item x="12"/>
        <item x="13"/>
        <item x="21"/>
      </items>
    </pivotField>
    <pivotField showAll="0" defaultSubtotal="0"/>
    <pivotField showAll="0" defaultSubtotal="0"/>
    <pivotField showAll="0" defaultSubtotal="0"/>
    <pivotField showAll="0" defaultSubtotal="0"/>
    <pivotField numFmtId="164" showAll="0" defaultSubtotal="0"/>
    <pivotField dataField="1" numFmtId="164" showAll="0" defaultSubtotal="0"/>
    <pivotField dragToRow="0" dragToCol="0" dragToPage="0" showAll="0" defaultSubtotal="0"/>
  </pivotFields>
  <rowFields count="1">
    <field x="2"/>
  </rowFields>
  <rowItems count="12">
    <i>
      <x/>
    </i>
    <i>
      <x v="1"/>
    </i>
    <i>
      <x v="2"/>
    </i>
    <i>
      <x v="3"/>
    </i>
    <i>
      <x v="4"/>
    </i>
    <i>
      <x v="5"/>
    </i>
    <i>
      <x v="6"/>
    </i>
    <i>
      <x v="7"/>
    </i>
    <i>
      <x v="8"/>
    </i>
    <i>
      <x v="9"/>
    </i>
    <i>
      <x v="10"/>
    </i>
    <i>
      <x v="11"/>
    </i>
  </rowItems>
  <colFields count="1">
    <field x="-2"/>
  </colFields>
  <colItems count="2">
    <i>
      <x/>
    </i>
    <i i="1">
      <x v="1"/>
    </i>
  </colItems>
  <pageFields count="1">
    <pageField fld="4" item="0" hier="-1"/>
  </pageFields>
  <dataFields count="2">
    <dataField name="Sum of Saldo" fld="10" baseField="0" baseItem="0" numFmtId="164"/>
    <dataField name="Sum of Saldo2" fld="10" baseField="0" baseItem="0" numFmtId="164"/>
  </dataFields>
  <chartFormats count="2">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353756-5FAE-471D-B597-38331E214019}" name="t_desc_despesa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E3:F6" firstHeaderRow="1" firstDataRow="1" firstDataCol="1" rowPageCount="1" colPageCount="1"/>
  <pivotFields count="12">
    <pivotField showAll="0" defaultSubtotal="0"/>
    <pivotField showAll="0" defaultSubtotal="0">
      <items count="3">
        <item x="0"/>
        <item h="1" x="1"/>
        <item h="1" x="2"/>
      </items>
    </pivotField>
    <pivotField showAll="0" defaultSubtotal="0"/>
    <pivotField showAll="0" defaultSubtotal="0"/>
    <pivotField subtotalTop="0" showAll="0" defaultSubtotal="0"/>
    <pivotField axis="axisPage" showAll="0" defaultSubtotal="0">
      <items count="2">
        <item x="1"/>
        <item x="0"/>
      </items>
    </pivotField>
    <pivotField showAll="0" defaultSubtotal="0">
      <items count="11">
        <item h="1" x="9"/>
        <item h="1" x="2"/>
        <item h="1" m="1" x="10"/>
        <item h="1" x="1"/>
        <item h="1" x="5"/>
        <item h="1" x="4"/>
        <item h="1" x="0"/>
        <item x="7"/>
        <item h="1" x="8"/>
        <item h="1" x="3"/>
        <item h="1" x="6"/>
      </items>
    </pivotField>
    <pivotField showAll="0" defaultSubtotal="0"/>
    <pivotField axis="axisRow" showAll="0" defaultSubtotal="0">
      <items count="34">
        <item x="15"/>
        <item x="27"/>
        <item x="2"/>
        <item x="4"/>
        <item x="30"/>
        <item x="19"/>
        <item x="14"/>
        <item x="24"/>
        <item x="8"/>
        <item x="33"/>
        <item x="11"/>
        <item x="1"/>
        <item x="3"/>
        <item x="18"/>
        <item x="12"/>
        <item x="10"/>
        <item x="17"/>
        <item x="7"/>
        <item x="5"/>
        <item x="23"/>
        <item x="13"/>
        <item x="29"/>
        <item x="22"/>
        <item x="28"/>
        <item x="20"/>
        <item x="6"/>
        <item x="21"/>
        <item x="9"/>
        <item x="0"/>
        <item x="16"/>
        <item x="26"/>
        <item x="31"/>
        <item x="25"/>
        <item x="32"/>
      </items>
    </pivotField>
    <pivotField dataField="1" numFmtId="164" showAll="0" defaultSubtotal="0"/>
    <pivotField numFmtId="164" showAll="0" defaultSubtotal="0"/>
    <pivotField dragToRow="0" dragToCol="0" dragToPage="0" showAll="0" defaultSubtotal="0"/>
  </pivotFields>
  <rowFields count="1">
    <field x="8"/>
  </rowFields>
  <rowItems count="3">
    <i>
      <x v="7"/>
    </i>
    <i>
      <x v="10"/>
    </i>
    <i>
      <x v="24"/>
    </i>
  </rowItems>
  <colItems count="1">
    <i/>
  </colItems>
  <pageFields count="1">
    <pageField fld="5" item="0" hier="-1"/>
  </pageFields>
  <dataFields count="1">
    <dataField name="Sum of Valor" fld="9"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6AC1BB-83FE-41EC-82CB-0CF38FCA7AB6}" name="t_despesas_ano"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K21:L27" firstHeaderRow="1" firstDataRow="1" firstDataCol="1" rowPageCount="1" colPageCount="1"/>
  <pivotFields count="12">
    <pivotField showAll="0" defaultSubtotal="0"/>
    <pivotField showAll="0" defaultSubtotal="0">
      <items count="3">
        <item x="0"/>
        <item h="1" x="1"/>
        <item h="1" x="2"/>
      </items>
    </pivotField>
    <pivotField showAll="0" defaultSubtotal="0"/>
    <pivotField showAll="0" defaultSubtotal="0"/>
    <pivotField subtotalTop="0" showAll="0" defaultSubtotal="0"/>
    <pivotField axis="axisPage" showAll="0" defaultSubtotal="0">
      <items count="2">
        <item x="1"/>
        <item x="0"/>
      </items>
    </pivotField>
    <pivotField axis="axisRow" showAll="0" sortType="descending" defaultSubtotal="0">
      <items count="11">
        <item x="9"/>
        <item x="2"/>
        <item m="1" x="10"/>
        <item x="1"/>
        <item x="5"/>
        <item x="4"/>
        <item x="0"/>
        <item x="7"/>
        <item x="8"/>
        <item x="3"/>
        <item x="6"/>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numFmtId="164" showAll="0" defaultSubtotal="0"/>
    <pivotField numFmtId="164" showAll="0" defaultSubtotal="0"/>
    <pivotField dragToRow="0" dragToCol="0" dragToPage="0" showAll="0" defaultSubtotal="0"/>
  </pivotFields>
  <rowFields count="1">
    <field x="6"/>
  </rowFields>
  <rowItems count="6">
    <i>
      <x v="1"/>
    </i>
    <i>
      <x v="8"/>
    </i>
    <i>
      <x v="7"/>
    </i>
    <i>
      <x v="9"/>
    </i>
    <i>
      <x v="10"/>
    </i>
    <i>
      <x/>
    </i>
  </rowItems>
  <colItems count="1">
    <i/>
  </colItems>
  <pageFields count="1">
    <pageField fld="5" item="0" hier="-1"/>
  </pageFields>
  <dataFields count="1">
    <dataField name="Sum of Valor" fld="9" baseField="0" baseItem="0" numFmtId="164"/>
  </dataFields>
  <chartFormats count="7">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6" count="1" selected="0">
            <x v="0"/>
          </reference>
        </references>
      </pivotArea>
    </chartFormat>
    <chartFormat chart="10" format="10">
      <pivotArea type="data" outline="0" fieldPosition="0">
        <references count="2">
          <reference field="4294967294" count="1" selected="0">
            <x v="0"/>
          </reference>
          <reference field="6" count="1" selected="0">
            <x v="1"/>
          </reference>
        </references>
      </pivotArea>
    </chartFormat>
    <chartFormat chart="10" format="11">
      <pivotArea type="data" outline="0" fieldPosition="0">
        <references count="2">
          <reference field="4294967294" count="1" selected="0">
            <x v="0"/>
          </reference>
          <reference field="6" count="1" selected="0">
            <x v="7"/>
          </reference>
        </references>
      </pivotArea>
    </chartFormat>
    <chartFormat chart="10" format="12">
      <pivotArea type="data" outline="0" fieldPosition="0">
        <references count="2">
          <reference field="4294967294" count="1" selected="0">
            <x v="0"/>
          </reference>
          <reference field="6" count="1" selected="0">
            <x v="8"/>
          </reference>
        </references>
      </pivotArea>
    </chartFormat>
    <chartFormat chart="10" format="13">
      <pivotArea type="data" outline="0" fieldPosition="0">
        <references count="2">
          <reference field="4294967294" count="1" selected="0">
            <x v="0"/>
          </reference>
          <reference field="6" count="1" selected="0">
            <x v="9"/>
          </reference>
        </references>
      </pivotArea>
    </chartFormat>
    <chartFormat chart="10" format="14">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C4A478-C9CC-4F10-9043-0A58FDF9B526}" name="t_despesas_m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H21:I26" firstHeaderRow="1" firstDataRow="1" firstDataCol="1" rowPageCount="1" colPageCount="1"/>
  <pivotFields count="12">
    <pivotField showAll="0" defaultSubtotal="0"/>
    <pivotField showAll="0" defaultSubtotal="0">
      <items count="3">
        <item x="0"/>
        <item h="1" x="1"/>
        <item h="1" x="2"/>
      </items>
    </pivotField>
    <pivotField showAll="0" defaultSubtotal="0"/>
    <pivotField showAll="0" defaultSubtotal="0">
      <items count="12">
        <item h="1" x="0"/>
        <item h="1" x="1"/>
        <item h="1" x="2"/>
        <item x="3"/>
        <item h="1" x="4"/>
        <item h="1" x="5"/>
        <item h="1" x="6"/>
        <item h="1" x="7"/>
        <item h="1" x="8"/>
        <item h="1" x="9"/>
        <item h="1" x="10"/>
        <item h="1" x="11"/>
      </items>
    </pivotField>
    <pivotField subtotalTop="0" showAll="0" defaultSubtotal="0"/>
    <pivotField axis="axisPage" showAll="0" defaultSubtotal="0">
      <items count="2">
        <item x="1"/>
        <item x="0"/>
      </items>
    </pivotField>
    <pivotField axis="axisRow" showAll="0" sortType="descending" defaultSubtotal="0">
      <items count="11">
        <item x="9"/>
        <item x="2"/>
        <item m="1" x="10"/>
        <item x="1"/>
        <item x="5"/>
        <item x="4"/>
        <item x="0"/>
        <item x="7"/>
        <item x="8"/>
        <item x="3"/>
        <item x="6"/>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numFmtId="164" showAll="0" defaultSubtotal="0"/>
    <pivotField numFmtId="164" showAll="0" defaultSubtotal="0"/>
    <pivotField dragToRow="0" dragToCol="0" dragToPage="0" showAll="0" defaultSubtotal="0"/>
  </pivotFields>
  <rowFields count="1">
    <field x="6"/>
  </rowFields>
  <rowItems count="5">
    <i>
      <x v="1"/>
    </i>
    <i>
      <x v="7"/>
    </i>
    <i>
      <x v="8"/>
    </i>
    <i>
      <x v="9"/>
    </i>
    <i>
      <x v="10"/>
    </i>
  </rowItems>
  <colItems count="1">
    <i/>
  </colItems>
  <pageFields count="1">
    <pageField fld="5" item="0" hier="-1"/>
  </pageFields>
  <dataFields count="1">
    <dataField name="Sum of Valor" fld="9" baseField="0" baseItem="0" numFmtId="164"/>
  </dataFields>
  <chartFormats count="7">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6" count="1" selected="0">
            <x v="0"/>
          </reference>
        </references>
      </pivotArea>
    </chartFormat>
    <chartFormat chart="12" format="10">
      <pivotArea type="data" outline="0" fieldPosition="0">
        <references count="2">
          <reference field="4294967294" count="1" selected="0">
            <x v="0"/>
          </reference>
          <reference field="6" count="1" selected="0">
            <x v="1"/>
          </reference>
        </references>
      </pivotArea>
    </chartFormat>
    <chartFormat chart="12" format="11">
      <pivotArea type="data" outline="0" fieldPosition="0">
        <references count="2">
          <reference field="4294967294" count="1" selected="0">
            <x v="0"/>
          </reference>
          <reference field="6" count="1" selected="0">
            <x v="7"/>
          </reference>
        </references>
      </pivotArea>
    </chartFormat>
    <chartFormat chart="12" format="12">
      <pivotArea type="data" outline="0" fieldPosition="0">
        <references count="2">
          <reference field="4294967294" count="1" selected="0">
            <x v="0"/>
          </reference>
          <reference field="6" count="1" selected="0">
            <x v="8"/>
          </reference>
        </references>
      </pivotArea>
    </chartFormat>
    <chartFormat chart="12" format="13">
      <pivotArea type="data" outline="0" fieldPosition="0">
        <references count="2">
          <reference field="4294967294" count="1" selected="0">
            <x v="0"/>
          </reference>
          <reference field="6" count="1" selected="0">
            <x v="9"/>
          </reference>
        </references>
      </pivotArea>
    </chartFormat>
    <chartFormat chart="12" format="14">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802040-2D7B-4D76-8385-B791A55F46DB}" name="t_mes_rec_e_des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H3:L17" firstHeaderRow="1" firstDataRow="3" firstDataCol="1"/>
  <pivotFields count="12">
    <pivotField showAll="0" defaultSubtotal="0"/>
    <pivotField showAll="0" defaultSubtotal="0">
      <items count="3">
        <item x="0"/>
        <item h="1" x="1"/>
        <item h="1" x="2"/>
      </items>
    </pivotField>
    <pivotField axis="axisRow" showAll="0" defaultSubtotal="0">
      <items count="12">
        <item x="0"/>
        <item x="1"/>
        <item x="2"/>
        <item x="3"/>
        <item x="4"/>
        <item x="5"/>
        <item x="6"/>
        <item x="7"/>
        <item x="8"/>
        <item x="9"/>
        <item x="10"/>
        <item x="11"/>
      </items>
    </pivotField>
    <pivotField showAll="0" defaultSubtotal="0"/>
    <pivotField subtotalTop="0" showAll="0" defaultSubtotal="0"/>
    <pivotField axis="axisCol" showAll="0" defaultSubtotal="0">
      <items count="2">
        <item x="1"/>
        <item x="0"/>
      </items>
    </pivotField>
    <pivotField showAll="0" defaultSubtotal="0"/>
    <pivotField showAll="0" defaultSubtotal="0"/>
    <pivotField showAll="0" defaultSubtotal="0"/>
    <pivotField dataField="1" numFmtId="164" showAll="0" defaultSubtotal="0"/>
    <pivotField numFmtId="164" showAll="0" defaultSubtotal="0"/>
    <pivotField dragToRow="0" dragToCol="0" dragToPage="0" showAll="0" defaultSubtotal="0"/>
  </pivotFields>
  <rowFields count="1">
    <field x="2"/>
  </rowFields>
  <rowItems count="12">
    <i>
      <x/>
    </i>
    <i>
      <x v="1"/>
    </i>
    <i>
      <x v="2"/>
    </i>
    <i>
      <x v="3"/>
    </i>
    <i>
      <x v="4"/>
    </i>
    <i>
      <x v="5"/>
    </i>
    <i>
      <x v="6"/>
    </i>
    <i>
      <x v="7"/>
    </i>
    <i>
      <x v="8"/>
    </i>
    <i>
      <x v="9"/>
    </i>
    <i>
      <x v="10"/>
    </i>
    <i>
      <x v="11"/>
    </i>
  </rowItems>
  <colFields count="2">
    <field x="5"/>
    <field x="-2"/>
  </colFields>
  <colItems count="4">
    <i>
      <x/>
      <x/>
    </i>
    <i r="1" i="1">
      <x v="1"/>
    </i>
    <i>
      <x v="1"/>
      <x/>
    </i>
    <i r="1" i="1">
      <x v="1"/>
    </i>
  </colItems>
  <dataFields count="2">
    <dataField name=" " fld="9" baseField="2" baseItem="0" numFmtId="164"/>
    <dataField name="Sum of Valor2" fld="9" baseField="0" baseItem="0" numFmtId="164"/>
  </dataFields>
  <chartFormats count="4">
    <chartFormat chart="5" format="4" series="1">
      <pivotArea type="data" outline="0" fieldPosition="0">
        <references count="2">
          <reference field="4294967294" count="1" selected="0">
            <x v="0"/>
          </reference>
          <reference field="5" count="1" selected="0">
            <x v="0"/>
          </reference>
        </references>
      </pivotArea>
    </chartFormat>
    <chartFormat chart="5" format="5" series="1">
      <pivotArea type="data" outline="0" fieldPosition="0">
        <references count="2">
          <reference field="4294967294" count="1" selected="0">
            <x v="0"/>
          </reference>
          <reference field="5" count="1" selected="0">
            <x v="1"/>
          </reference>
        </references>
      </pivotArea>
    </chartFormat>
    <chartFormat chart="5" format="6" series="1">
      <pivotArea type="data" outline="0" fieldPosition="0">
        <references count="2">
          <reference field="4294967294" count="1" selected="0">
            <x v="1"/>
          </reference>
          <reference field="5" count="1" selected="0">
            <x v="1"/>
          </reference>
        </references>
      </pivotArea>
    </chartFormat>
    <chartFormat chart="5" format="7" series="1">
      <pivotArea type="data" outline="0" fieldPosition="0">
        <references count="2">
          <reference field="4294967294" count="1" selected="0">
            <x v="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E91AF4-D599-4350-990E-7F848A27B5A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Q31:R33" firstHeaderRow="1" firstDataRow="1" firstDataCol="1"/>
  <pivotFields count="12">
    <pivotField showAll="0" defaultSubtotal="0"/>
    <pivotField showAll="0" defaultSubtotal="0">
      <items count="3">
        <item x="0"/>
        <item h="1" x="1"/>
        <item h="1" x="2"/>
      </items>
    </pivotField>
    <pivotField showAll="0" defaultSubtotal="0"/>
    <pivotField showAll="0" defaultSubtotal="0">
      <items count="12">
        <item h="1" x="0"/>
        <item h="1" x="1"/>
        <item h="1" x="2"/>
        <item x="3"/>
        <item h="1" x="4"/>
        <item h="1" x="5"/>
        <item h="1" x="6"/>
        <item h="1" x="7"/>
        <item h="1" x="8"/>
        <item h="1" x="9"/>
        <item h="1" x="10"/>
        <item h="1" x="11"/>
      </items>
    </pivotField>
    <pivotField subtotalTop="0" showAll="0" defaultSubtotal="0"/>
    <pivotField axis="axisRow" showAll="0" defaultSubtotal="0">
      <items count="2">
        <item x="1"/>
        <item x="0"/>
      </items>
    </pivotField>
    <pivotField showAll="0" defaultSubtotal="0">
      <items count="11">
        <item x="9"/>
        <item x="2"/>
        <item m="1" x="10"/>
        <item x="1"/>
        <item x="5"/>
        <item x="4"/>
        <item x="0"/>
        <item x="7"/>
        <item x="8"/>
        <item x="3"/>
        <item x="6"/>
      </items>
    </pivotField>
    <pivotField showAll="0" defaultSubtotal="0"/>
    <pivotField showAll="0" defaultSubtotal="0"/>
    <pivotField dataField="1" numFmtId="164" showAll="0" defaultSubtotal="0"/>
    <pivotField numFmtId="164" showAll="0" defaultSubtotal="0"/>
    <pivotField dragToRow="0" dragToCol="0" dragToPage="0" showAll="0" defaultSubtotal="0"/>
  </pivotFields>
  <rowFields count="1">
    <field x="5"/>
  </rowFields>
  <rowItems count="2">
    <i>
      <x/>
    </i>
    <i>
      <x v="1"/>
    </i>
  </rowItems>
  <colItems count="1">
    <i/>
  </colItems>
  <dataFields count="1">
    <dataField name="Sum of Valor" fld="9" baseField="0" baseItem="0" numFmtId="164"/>
  </dataFields>
  <chartFormats count="1">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205B81-D2F9-429C-88DC-AEB5D6F59CEA}" name="t_mes_despesa"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O8:Q20" firstHeaderRow="0" firstDataRow="1" firstDataCol="1" rowPageCount="1" colPageCount="1"/>
  <pivotFields count="12">
    <pivotField showAll="0" defaultSubtotal="0"/>
    <pivotField showAll="0" defaultSubtotal="0">
      <items count="3">
        <item x="0"/>
        <item h="1" x="1"/>
        <item h="1" x="2"/>
      </items>
    </pivotField>
    <pivotField axis="axisRow" showAll="0" defaultSubtotal="0">
      <items count="12">
        <item x="0"/>
        <item x="1"/>
        <item x="2"/>
        <item x="3"/>
        <item x="4"/>
        <item x="5"/>
        <item x="6"/>
        <item x="7"/>
        <item x="8"/>
        <item x="9"/>
        <item x="10"/>
        <item x="11"/>
      </items>
    </pivotField>
    <pivotField showAll="0" defaultSubtotal="0"/>
    <pivotField subtotalTop="0" showAll="0" defaultSubtotal="0"/>
    <pivotField axis="axisPage" showAll="0" defaultSubtotal="0">
      <items count="2">
        <item x="1"/>
        <item x="0"/>
      </items>
    </pivotField>
    <pivotField showAll="0" defaultSubtotal="0"/>
    <pivotField showAll="0" defaultSubtotal="0"/>
    <pivotField showAll="0" defaultSubtotal="0"/>
    <pivotField dataField="1" numFmtId="164" showAll="0" defaultSubtotal="0">
      <items count="457">
        <item x="238"/>
        <item x="227"/>
        <item x="289"/>
        <item x="185"/>
        <item x="317"/>
        <item x="184"/>
        <item x="79"/>
        <item x="372"/>
        <item x="336"/>
        <item x="264"/>
        <item x="436"/>
        <item x="167"/>
        <item x="134"/>
        <item x="143"/>
        <item x="399"/>
        <item x="392"/>
        <item x="259"/>
        <item x="391"/>
        <item x="306"/>
        <item x="407"/>
        <item x="157"/>
        <item x="188"/>
        <item x="2"/>
        <item x="192"/>
        <item x="42"/>
        <item x="117"/>
        <item x="89"/>
        <item x="65"/>
        <item x="33"/>
        <item x="233"/>
        <item x="207"/>
        <item x="126"/>
        <item x="274"/>
        <item x="387"/>
        <item x="225"/>
        <item x="415"/>
        <item x="107"/>
        <item x="369"/>
        <item x="63"/>
        <item x="78"/>
        <item x="189"/>
        <item x="329"/>
        <item x="148"/>
        <item x="231"/>
        <item x="294"/>
        <item x="51"/>
        <item x="32"/>
        <item x="53"/>
        <item x="59"/>
        <item x="93"/>
        <item x="442"/>
        <item x="312"/>
        <item x="130"/>
        <item x="27"/>
        <item x="209"/>
        <item x="290"/>
        <item x="258"/>
        <item x="311"/>
        <item x="16"/>
        <item x="177"/>
        <item x="92"/>
        <item x="38"/>
        <item x="169"/>
        <item x="417"/>
        <item x="200"/>
        <item x="434"/>
        <item x="49"/>
        <item x="454"/>
        <item x="341"/>
        <item x="152"/>
        <item x="322"/>
        <item x="260"/>
        <item x="379"/>
        <item x="240"/>
        <item x="106"/>
        <item x="48"/>
        <item x="160"/>
        <item x="99"/>
        <item x="237"/>
        <item x="88"/>
        <item x="119"/>
        <item x="22"/>
        <item x="206"/>
        <item x="279"/>
        <item x="194"/>
        <item x="144"/>
        <item x="208"/>
        <item x="43"/>
        <item x="180"/>
        <item x="390"/>
        <item x="17"/>
        <item x="56"/>
        <item x="331"/>
        <item x="314"/>
        <item x="170"/>
        <item x="138"/>
        <item x="77"/>
        <item x="242"/>
        <item x="10"/>
        <item x="4"/>
        <item x="401"/>
        <item x="351"/>
        <item x="195"/>
        <item x="413"/>
        <item x="111"/>
        <item x="120"/>
        <item x="340"/>
        <item x="28"/>
        <item x="114"/>
        <item x="299"/>
        <item x="349"/>
        <item x="80"/>
        <item x="45"/>
        <item x="265"/>
        <item x="64"/>
        <item x="166"/>
        <item x="75"/>
        <item x="137"/>
        <item x="91"/>
        <item x="241"/>
        <item x="343"/>
        <item x="186"/>
        <item x="261"/>
        <item x="87"/>
        <item x="66"/>
        <item x="139"/>
        <item x="302"/>
        <item x="7"/>
        <item x="325"/>
        <item x="420"/>
        <item x="128"/>
        <item x="121"/>
        <item x="211"/>
        <item x="362"/>
        <item x="84"/>
        <item x="11"/>
        <item x="103"/>
        <item x="244"/>
        <item x="36"/>
        <item x="197"/>
        <item x="271"/>
        <item x="26"/>
        <item x="220"/>
        <item x="293"/>
        <item x="162"/>
        <item x="57"/>
        <item x="6"/>
        <item x="452"/>
        <item x="357"/>
        <item x="408"/>
        <item x="435"/>
        <item x="252"/>
        <item x="123"/>
        <item x="315"/>
        <item x="104"/>
        <item x="441"/>
        <item x="246"/>
        <item x="214"/>
        <item x="100"/>
        <item x="358"/>
        <item x="156"/>
        <item x="385"/>
        <item x="247"/>
        <item x="425"/>
        <item x="287"/>
        <item x="320"/>
        <item x="55"/>
        <item x="284"/>
        <item x="292"/>
        <item x="337"/>
        <item x="110"/>
        <item x="383"/>
        <item x="176"/>
        <item x="406"/>
        <item x="95"/>
        <item x="344"/>
        <item x="276"/>
        <item x="181"/>
        <item x="163"/>
        <item x="422"/>
        <item x="223"/>
        <item x="409"/>
        <item x="352"/>
        <item x="256"/>
        <item x="146"/>
        <item x="205"/>
        <item x="83"/>
        <item x="154"/>
        <item x="364"/>
        <item x="73"/>
        <item x="285"/>
        <item x="398"/>
        <item x="397"/>
        <item x="109"/>
        <item x="456"/>
        <item x="334"/>
        <item x="303"/>
        <item x="388"/>
        <item x="313"/>
        <item x="437"/>
        <item x="450"/>
        <item x="427"/>
        <item x="24"/>
        <item x="19"/>
        <item x="46"/>
        <item x="201"/>
        <item x="235"/>
        <item x="445"/>
        <item x="71"/>
        <item x="18"/>
        <item x="37"/>
        <item x="443"/>
        <item x="282"/>
        <item x="198"/>
        <item x="145"/>
        <item x="105"/>
        <item x="30"/>
        <item x="173"/>
        <item x="125"/>
        <item x="393"/>
        <item x="374"/>
        <item x="326"/>
        <item x="221"/>
        <item x="15"/>
        <item x="307"/>
        <item x="375"/>
        <item x="213"/>
        <item x="90"/>
        <item x="116"/>
        <item x="419"/>
        <item x="338"/>
        <item x="253"/>
        <item x="74"/>
        <item x="367"/>
        <item x="182"/>
        <item x="275"/>
        <item x="226"/>
        <item x="183"/>
        <item x="439"/>
        <item x="199"/>
        <item x="70"/>
        <item x="248"/>
        <item x="347"/>
        <item x="129"/>
        <item x="386"/>
        <item x="447"/>
        <item x="404"/>
        <item x="215"/>
        <item x="236"/>
        <item x="316"/>
        <item x="62"/>
        <item x="266"/>
        <item x="229"/>
        <item x="432"/>
        <item x="141"/>
        <item x="272"/>
        <item x="368"/>
        <item x="350"/>
        <item x="44"/>
        <item x="39"/>
        <item x="165"/>
        <item x="356"/>
        <item x="416"/>
        <item x="380"/>
        <item x="239"/>
        <item x="324"/>
        <item x="310"/>
        <item x="286"/>
        <item x="20"/>
        <item x="98"/>
        <item x="25"/>
        <item x="444"/>
        <item x="296"/>
        <item x="155"/>
        <item x="428"/>
        <item x="360"/>
        <item x="348"/>
        <item x="249"/>
        <item x="72"/>
        <item x="295"/>
        <item x="14"/>
        <item x="135"/>
        <item x="321"/>
        <item x="212"/>
        <item x="9"/>
        <item x="323"/>
        <item x="431"/>
        <item x="222"/>
        <item x="382"/>
        <item x="187"/>
        <item x="298"/>
        <item x="108"/>
        <item x="370"/>
        <item x="288"/>
        <item x="410"/>
        <item x="69"/>
        <item x="29"/>
        <item x="297"/>
        <item x="328"/>
        <item x="424"/>
        <item x="232"/>
        <item x="371"/>
        <item x="13"/>
        <item x="267"/>
        <item x="96"/>
        <item x="423"/>
        <item x="234"/>
        <item x="124"/>
        <item x="171"/>
        <item x="414"/>
        <item x="164"/>
        <item x="381"/>
        <item x="113"/>
        <item x="58"/>
        <item x="453"/>
        <item x="94"/>
        <item x="202"/>
        <item x="178"/>
        <item x="400"/>
        <item x="257"/>
        <item x="365"/>
        <item x="41"/>
        <item x="115"/>
        <item x="373"/>
        <item x="333"/>
        <item x="193"/>
        <item x="86"/>
        <item x="251"/>
        <item x="245"/>
        <item x="210"/>
        <item x="179"/>
        <item x="384"/>
        <item x="81"/>
        <item x="273"/>
        <item x="339"/>
        <item x="191"/>
        <item x="217"/>
        <item x="402"/>
        <item x="433"/>
        <item x="359"/>
        <item x="132"/>
        <item x="35"/>
        <item x="159"/>
        <item x="305"/>
        <item x="151"/>
        <item x="131"/>
        <item x="224"/>
        <item x="175"/>
        <item x="345"/>
        <item x="255"/>
        <item x="412"/>
        <item x="54"/>
        <item x="136"/>
        <item x="12"/>
        <item x="366"/>
        <item x="280"/>
        <item x="353"/>
        <item x="149"/>
        <item x="318"/>
        <item x="430"/>
        <item x="250"/>
        <item x="50"/>
        <item x="363"/>
        <item x="133"/>
        <item x="102"/>
        <item x="168"/>
        <item x="262"/>
        <item x="268"/>
        <item x="140"/>
        <item x="122"/>
        <item x="411"/>
        <item x="361"/>
        <item x="196"/>
        <item x="147"/>
        <item x="277"/>
        <item x="172"/>
        <item x="1"/>
        <item x="309"/>
        <item x="8"/>
        <item x="346"/>
        <item x="204"/>
        <item x="150"/>
        <item x="421"/>
        <item x="219"/>
        <item x="451"/>
        <item x="440"/>
        <item x="446"/>
        <item x="23"/>
        <item x="395"/>
        <item x="283"/>
        <item x="47"/>
        <item x="300"/>
        <item x="355"/>
        <item x="403"/>
        <item x="327"/>
        <item x="60"/>
        <item x="335"/>
        <item x="85"/>
        <item x="281"/>
        <item x="158"/>
        <item x="301"/>
        <item x="5"/>
        <item x="61"/>
        <item x="263"/>
        <item x="429"/>
        <item x="376"/>
        <item x="308"/>
        <item x="448"/>
        <item x="76"/>
        <item x="118"/>
        <item x="40"/>
        <item x="270"/>
        <item x="216"/>
        <item x="67"/>
        <item x="228"/>
        <item x="394"/>
        <item x="378"/>
        <item x="31"/>
        <item x="455"/>
        <item x="101"/>
        <item x="332"/>
        <item x="3"/>
        <item x="354"/>
        <item x="438"/>
        <item x="389"/>
        <item x="418"/>
        <item x="190"/>
        <item x="174"/>
        <item x="142"/>
        <item x="291"/>
        <item x="218"/>
        <item x="34"/>
        <item x="269"/>
        <item x="449"/>
        <item x="203"/>
        <item x="230"/>
        <item x="278"/>
        <item x="396"/>
        <item x="161"/>
        <item x="153"/>
        <item x="319"/>
        <item x="304"/>
        <item x="243"/>
        <item x="405"/>
        <item x="112"/>
        <item x="0"/>
        <item x="377"/>
        <item x="21"/>
        <item x="426"/>
        <item x="254"/>
        <item x="52"/>
        <item x="127"/>
        <item x="68"/>
        <item x="82"/>
        <item x="97"/>
        <item x="342"/>
        <item x="330"/>
      </items>
    </pivotField>
    <pivotField numFmtId="164" showAll="0" defaultSubtotal="0"/>
    <pivotField dragToRow="0" dragToCol="0" dragToPage="0" showAll="0" defaultSubtotal="0"/>
  </pivotFields>
  <rowFields count="1">
    <field x="2"/>
  </rowFields>
  <rowItems count="12">
    <i>
      <x/>
    </i>
    <i>
      <x v="1"/>
    </i>
    <i>
      <x v="2"/>
    </i>
    <i>
      <x v="3"/>
    </i>
    <i>
      <x v="4"/>
    </i>
    <i>
      <x v="5"/>
    </i>
    <i>
      <x v="6"/>
    </i>
    <i>
      <x v="7"/>
    </i>
    <i>
      <x v="8"/>
    </i>
    <i>
      <x v="9"/>
    </i>
    <i>
      <x v="10"/>
    </i>
    <i>
      <x v="11"/>
    </i>
  </rowItems>
  <colFields count="1">
    <field x="-2"/>
  </colFields>
  <colItems count="2">
    <i>
      <x/>
    </i>
    <i i="1">
      <x v="1"/>
    </i>
  </colItems>
  <pageFields count="1">
    <pageField fld="5" item="0" hier="-1"/>
  </pageFields>
  <dataFields count="2">
    <dataField name="Sum of Valor" fld="9" baseField="0" baseItem="0" numFmtId="164"/>
    <dataField name="Sum of Valor2" fld="9" baseField="0" baseItem="0" numFmtId="164"/>
  </dataFields>
  <chartFormats count="4">
    <chartFormat chart="8"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80CBE4-14A2-4E42-A84F-B2AA0B7A447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L41:L42" firstHeaderRow="1" firstDataRow="1" firstDataCol="0" rowPageCount="1" colPageCount="1"/>
  <pivotFields count="12">
    <pivotField showAll="0" defaultSubtotal="0"/>
    <pivotField showAll="0" defaultSubtotal="0"/>
    <pivotField showAll="0" defaultSubtotal="0"/>
    <pivotField showAll="0" defaultSubtotal="0"/>
    <pivotField subtotalTop="0" showAll="0" defaultSubtotal="0"/>
    <pivotField axis="axisPage" showAll="0" defaultSubtotal="0">
      <items count="2">
        <item x="1"/>
        <item x="0"/>
      </items>
    </pivotField>
    <pivotField showAll="0" defaultSubtotal="0"/>
    <pivotField showAll="0" defaultSubtotal="0"/>
    <pivotField showAll="0" defaultSubtotal="0"/>
    <pivotField dataField="1" numFmtId="164" showAll="0" defaultSubtotal="0"/>
    <pivotField numFmtId="164" showAll="0" defaultSubtotal="0"/>
    <pivotField dragToRow="0" dragToCol="0" dragToPage="0" showAll="0" defaultSubtotal="0"/>
  </pivotFields>
  <rowItems count="1">
    <i/>
  </rowItems>
  <colItems count="1">
    <i/>
  </colItems>
  <pageFields count="1">
    <pageField fld="5" item="0" hier="-1"/>
  </pageFields>
  <dataFields count="1">
    <dataField name="Sum of Valor" fld="9" baseField="0" baseItem="0" numFmtId="164"/>
  </dataFields>
  <chartFormats count="1">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a" xr10:uid="{DAF0042D-FE70-466F-927D-519AEE328620}" sourceName="Categoria">
  <pivotTables>
    <pivotTable tabId="5" name="t_desc_despesas"/>
  </pivotTables>
  <data>
    <tabular pivotCacheId="1643761035">
      <items count="11">
        <i x="9"/>
        <i x="2"/>
        <i x="7" s="1"/>
        <i x="8"/>
        <i x="3"/>
        <i x="6"/>
        <i x="10" nd="1"/>
        <i x="1" nd="1"/>
        <i x="5" nd="1"/>
        <i x="4" nd="1"/>
        <i x="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 xr10:uid="{95AA3ECA-98DC-4153-A8BD-6BE1D8ADA0FA}" sourceName="Ano">
  <pivotTables>
    <pivotTable tabId="5" name="t_mes_receita"/>
    <pivotTable tabId="5" name="t_desc_despesas"/>
    <pivotTable tabId="5" name="t_despesas_ano"/>
    <pivotTable tabId="5" name="t_despesas_mes"/>
    <pivotTable tabId="5" name="t_mes_despesa"/>
    <pivotTable tabId="5" name="t_mes_rec_e_desp"/>
    <pivotTable tabId="5" name="t_mes_saldo"/>
    <pivotTable tabId="5" name="PivotTable1"/>
  </pivotTables>
  <data>
    <tabular pivotCacheId="1643761035">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ês_extenso" xr10:uid="{E5FADF88-38DB-4DCA-8EB3-D2070675C456}" sourceName="Mês_extenso">
  <pivotTables>
    <pivotTable tabId="5" name="t_despesas_mes"/>
    <pivotTable tabId="5" name="PivotTable1"/>
  </pivotTables>
  <data>
    <tabular pivotCacheId="1643761035">
      <items count="12">
        <i x="0"/>
        <i x="1"/>
        <i x="2"/>
        <i x="3" s="1"/>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1" xr10:uid="{FA965D1F-7AC9-43AF-B908-1E75F2438EB2}" cache="Slicer_Categoria" caption="Categoria" showCaption="0" style="Slicer Style 1 2" rowHeight="241300"/>
  <slicer name="Ano 1" xr10:uid="{61F06E10-EF3C-417F-8ED1-7E1F51870062}" cache="Slicer_Ano" caption="Ano" showCaption="0" style="Slicer Style 1" rowHeight="241300"/>
  <slicer name="Mês_extenso 1" xr10:uid="{44D80A80-A41D-41C2-AFA4-0F35A9A4F0D3}" cache="Slicer_Mês_extenso" caption="Mês_extenso" showCaption="0" style="Slicer Style 1"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37"/>
  <sheetViews>
    <sheetView workbookViewId="0">
      <selection activeCell="H18" sqref="H18"/>
    </sheetView>
  </sheetViews>
  <sheetFormatPr defaultRowHeight="15" x14ac:dyDescent="0.25"/>
  <cols>
    <col min="1" max="1" width="10.7109375" bestFit="1" customWidth="1"/>
    <col min="2" max="2" width="9.140625" bestFit="1" customWidth="1"/>
    <col min="3" max="3" width="9.42578125" bestFit="1" customWidth="1"/>
    <col min="4" max="4" width="17.7109375" bestFit="1" customWidth="1"/>
    <col min="5" max="5" width="17.7109375" customWidth="1"/>
    <col min="6" max="6" width="9.42578125" bestFit="1" customWidth="1"/>
    <col min="7" max="7" width="21" bestFit="1" customWidth="1"/>
    <col min="8" max="8" width="21.28515625" bestFit="1" customWidth="1"/>
    <col min="9" max="9" width="22.5703125" bestFit="1" customWidth="1"/>
    <col min="10" max="10" width="10.28515625" bestFit="1" customWidth="1"/>
    <col min="11" max="11" width="10.42578125" bestFit="1" customWidth="1"/>
  </cols>
  <sheetData>
    <row r="1" spans="1:11" x14ac:dyDescent="0.25">
      <c r="A1" s="1" t="s">
        <v>0</v>
      </c>
      <c r="B1" s="1" t="s">
        <v>535</v>
      </c>
      <c r="C1" s="1" t="s">
        <v>536</v>
      </c>
      <c r="D1" s="1" t="s">
        <v>549</v>
      </c>
      <c r="E1" s="1" t="s">
        <v>560</v>
      </c>
      <c r="F1" s="1" t="s">
        <v>1</v>
      </c>
      <c r="G1" s="1" t="s">
        <v>2</v>
      </c>
      <c r="H1" s="1" t="s">
        <v>550</v>
      </c>
      <c r="I1" s="1" t="s">
        <v>3</v>
      </c>
      <c r="J1" s="1" t="s">
        <v>4</v>
      </c>
      <c r="K1" s="1" t="s">
        <v>534</v>
      </c>
    </row>
    <row r="2" spans="1:11" x14ac:dyDescent="0.25">
      <c r="A2" t="s">
        <v>5</v>
      </c>
      <c r="B2">
        <f>YEAR(A2)</f>
        <v>2023</v>
      </c>
      <c r="C2" t="str">
        <f>TEXT(A2,"mmm")</f>
        <v>jan</v>
      </c>
      <c r="D2" t="str">
        <f>PROPER(TEXT(A2,"Mmmm"))</f>
        <v>Janeiro</v>
      </c>
      <c r="E2">
        <f>DAY(A2)</f>
        <v>1</v>
      </c>
      <c r="F2" t="s">
        <v>488</v>
      </c>
      <c r="G2" t="s">
        <v>490</v>
      </c>
      <c r="H2" t="str">
        <f>IF(F2="Receita",IF(G2="Salário","Salário","Outras Receitas"),"")</f>
        <v>Salário</v>
      </c>
      <c r="I2" t="s">
        <v>500</v>
      </c>
      <c r="J2" s="4">
        <v>7084</v>
      </c>
      <c r="K2" s="4">
        <f>IF(ROW()=2,J2,IF(F2="Receita",K1+J2,K1-J2))</f>
        <v>7084</v>
      </c>
    </row>
    <row r="3" spans="1:11" x14ac:dyDescent="0.25">
      <c r="A3" t="s">
        <v>6</v>
      </c>
      <c r="B3">
        <f t="shared" ref="B3:B63" si="0">YEAR(A3)</f>
        <v>2023</v>
      </c>
      <c r="C3" t="str">
        <f t="shared" ref="C3:C63" si="1">TEXT(A3,"mmm")</f>
        <v>jan</v>
      </c>
      <c r="D3" t="str">
        <f t="shared" ref="D3:D63" si="2">PROPER(TEXT(A3,"Mmmm"))</f>
        <v>Janeiro</v>
      </c>
      <c r="E3">
        <f t="shared" ref="E3:E66" si="3">DAY(A3)</f>
        <v>2</v>
      </c>
      <c r="F3" t="s">
        <v>488</v>
      </c>
      <c r="G3" t="s">
        <v>491</v>
      </c>
      <c r="H3" t="str">
        <f t="shared" ref="H3:H66" si="4">IF(F3="Receita",IF(G3="Salário","Salário","Outras Receitas"),"")</f>
        <v>Outras Receitas</v>
      </c>
      <c r="I3" t="s">
        <v>501</v>
      </c>
      <c r="J3" s="4">
        <v>1163</v>
      </c>
      <c r="K3" s="4">
        <f t="shared" ref="K3:K66" si="5">IF(ROW()=2,J3,IF(F3="Receita",K2+J3,K2-J3))</f>
        <v>8247</v>
      </c>
    </row>
    <row r="4" spans="1:11" x14ac:dyDescent="0.25">
      <c r="A4" t="s">
        <v>6</v>
      </c>
      <c r="B4">
        <f t="shared" si="0"/>
        <v>2023</v>
      </c>
      <c r="C4" t="str">
        <f t="shared" si="1"/>
        <v>jan</v>
      </c>
      <c r="D4" t="str">
        <f t="shared" si="2"/>
        <v>Janeiro</v>
      </c>
      <c r="E4">
        <f t="shared" si="3"/>
        <v>2</v>
      </c>
      <c r="F4" t="s">
        <v>489</v>
      </c>
      <c r="G4" t="s">
        <v>492</v>
      </c>
      <c r="H4" t="str">
        <f t="shared" si="4"/>
        <v/>
      </c>
      <c r="I4" t="s">
        <v>502</v>
      </c>
      <c r="J4" s="4">
        <v>143</v>
      </c>
      <c r="K4" s="4">
        <f t="shared" si="5"/>
        <v>8104</v>
      </c>
    </row>
    <row r="5" spans="1:11" x14ac:dyDescent="0.25">
      <c r="A5" t="s">
        <v>6</v>
      </c>
      <c r="B5">
        <f t="shared" si="0"/>
        <v>2023</v>
      </c>
      <c r="C5" t="str">
        <f t="shared" si="1"/>
        <v>jan</v>
      </c>
      <c r="D5" t="str">
        <f t="shared" si="2"/>
        <v>Janeiro</v>
      </c>
      <c r="E5">
        <f t="shared" si="3"/>
        <v>2</v>
      </c>
      <c r="F5" t="s">
        <v>489</v>
      </c>
      <c r="G5" t="s">
        <v>492</v>
      </c>
      <c r="H5" t="str">
        <f t="shared" si="4"/>
        <v/>
      </c>
      <c r="I5" t="s">
        <v>503</v>
      </c>
      <c r="J5" s="4">
        <v>143</v>
      </c>
      <c r="K5" s="4">
        <f t="shared" si="5"/>
        <v>7961</v>
      </c>
    </row>
    <row r="6" spans="1:11" x14ac:dyDescent="0.25">
      <c r="A6" t="s">
        <v>7</v>
      </c>
      <c r="B6">
        <f t="shared" si="0"/>
        <v>2023</v>
      </c>
      <c r="C6" t="str">
        <f t="shared" si="1"/>
        <v>jan</v>
      </c>
      <c r="D6" t="str">
        <f t="shared" si="2"/>
        <v>Janeiro</v>
      </c>
      <c r="E6">
        <f t="shared" si="3"/>
        <v>4</v>
      </c>
      <c r="F6" t="s">
        <v>489</v>
      </c>
      <c r="G6" t="s">
        <v>492</v>
      </c>
      <c r="H6" t="str">
        <f t="shared" si="4"/>
        <v/>
      </c>
      <c r="I6" t="s">
        <v>504</v>
      </c>
      <c r="J6" s="4">
        <v>2000</v>
      </c>
      <c r="K6" s="4">
        <f t="shared" si="5"/>
        <v>5961</v>
      </c>
    </row>
    <row r="7" spans="1:11" x14ac:dyDescent="0.25">
      <c r="A7" t="s">
        <v>7</v>
      </c>
      <c r="B7">
        <f t="shared" si="0"/>
        <v>2023</v>
      </c>
      <c r="C7" t="str">
        <f t="shared" si="1"/>
        <v>jan</v>
      </c>
      <c r="D7" t="str">
        <f t="shared" si="2"/>
        <v>Janeiro</v>
      </c>
      <c r="E7">
        <f t="shared" si="3"/>
        <v>4</v>
      </c>
      <c r="F7" t="s">
        <v>489</v>
      </c>
      <c r="G7" t="s">
        <v>493</v>
      </c>
      <c r="H7" t="str">
        <f t="shared" si="4"/>
        <v/>
      </c>
      <c r="I7" t="s">
        <v>505</v>
      </c>
      <c r="J7" s="4">
        <v>269</v>
      </c>
      <c r="K7" s="4">
        <f t="shared" si="5"/>
        <v>5692</v>
      </c>
    </row>
    <row r="8" spans="1:11" x14ac:dyDescent="0.25">
      <c r="A8" t="s">
        <v>8</v>
      </c>
      <c r="B8">
        <f t="shared" si="0"/>
        <v>2023</v>
      </c>
      <c r="C8" t="str">
        <f t="shared" si="1"/>
        <v>jan</v>
      </c>
      <c r="D8" t="str">
        <f t="shared" si="2"/>
        <v>Janeiro</v>
      </c>
      <c r="E8">
        <f t="shared" si="3"/>
        <v>5</v>
      </c>
      <c r="F8" t="s">
        <v>488</v>
      </c>
      <c r="G8" t="s">
        <v>494</v>
      </c>
      <c r="H8" t="str">
        <f t="shared" si="4"/>
        <v>Outras Receitas</v>
      </c>
      <c r="I8" t="s">
        <v>506</v>
      </c>
      <c r="J8" s="4">
        <v>1416</v>
      </c>
      <c r="K8" s="4">
        <f t="shared" si="5"/>
        <v>7108</v>
      </c>
    </row>
    <row r="9" spans="1:11" x14ac:dyDescent="0.25">
      <c r="A9" t="s">
        <v>9</v>
      </c>
      <c r="B9">
        <f t="shared" si="0"/>
        <v>2023</v>
      </c>
      <c r="C9" t="str">
        <f t="shared" si="1"/>
        <v>jan</v>
      </c>
      <c r="D9" t="str">
        <f t="shared" si="2"/>
        <v>Janeiro</v>
      </c>
      <c r="E9">
        <f t="shared" si="3"/>
        <v>9</v>
      </c>
      <c r="F9" t="s">
        <v>488</v>
      </c>
      <c r="G9" t="s">
        <v>495</v>
      </c>
      <c r="H9" t="str">
        <f t="shared" si="4"/>
        <v>Outras Receitas</v>
      </c>
      <c r="I9" t="s">
        <v>507</v>
      </c>
      <c r="J9" s="4">
        <v>364</v>
      </c>
      <c r="K9" s="4">
        <f t="shared" si="5"/>
        <v>7472</v>
      </c>
    </row>
    <row r="10" spans="1:11" x14ac:dyDescent="0.25">
      <c r="A10" t="s">
        <v>9</v>
      </c>
      <c r="B10">
        <f t="shared" si="0"/>
        <v>2023</v>
      </c>
      <c r="C10" t="str">
        <f t="shared" si="1"/>
        <v>jan</v>
      </c>
      <c r="D10" t="str">
        <f t="shared" si="2"/>
        <v>Janeiro</v>
      </c>
      <c r="E10">
        <f t="shared" si="3"/>
        <v>9</v>
      </c>
      <c r="F10" t="s">
        <v>489</v>
      </c>
      <c r="G10" t="s">
        <v>492</v>
      </c>
      <c r="H10" t="str">
        <f t="shared" si="4"/>
        <v/>
      </c>
      <c r="I10" t="s">
        <v>508</v>
      </c>
      <c r="J10" s="4">
        <v>321</v>
      </c>
      <c r="K10" s="4">
        <f t="shared" si="5"/>
        <v>7151</v>
      </c>
    </row>
    <row r="11" spans="1:11" x14ac:dyDescent="0.25">
      <c r="A11" t="s">
        <v>10</v>
      </c>
      <c r="B11">
        <f t="shared" si="0"/>
        <v>2023</v>
      </c>
      <c r="C11" t="str">
        <f t="shared" si="1"/>
        <v>jan</v>
      </c>
      <c r="D11" t="str">
        <f t="shared" si="2"/>
        <v>Janeiro</v>
      </c>
      <c r="E11">
        <f t="shared" si="3"/>
        <v>11</v>
      </c>
      <c r="F11" t="s">
        <v>489</v>
      </c>
      <c r="G11" t="s">
        <v>496</v>
      </c>
      <c r="H11" t="str">
        <f t="shared" si="4"/>
        <v/>
      </c>
      <c r="I11" t="s">
        <v>509</v>
      </c>
      <c r="J11" s="4">
        <v>1190</v>
      </c>
      <c r="K11" s="4">
        <f t="shared" si="5"/>
        <v>5961</v>
      </c>
    </row>
    <row r="12" spans="1:11" x14ac:dyDescent="0.25">
      <c r="A12" t="s">
        <v>11</v>
      </c>
      <c r="B12">
        <f t="shared" si="0"/>
        <v>2023</v>
      </c>
      <c r="C12" t="str">
        <f t="shared" si="1"/>
        <v>jan</v>
      </c>
      <c r="D12" t="str">
        <f t="shared" si="2"/>
        <v>Janeiro</v>
      </c>
      <c r="E12">
        <f t="shared" si="3"/>
        <v>13</v>
      </c>
      <c r="F12" t="s">
        <v>489</v>
      </c>
      <c r="G12" t="s">
        <v>492</v>
      </c>
      <c r="H12" t="str">
        <f t="shared" si="4"/>
        <v/>
      </c>
      <c r="I12" t="s">
        <v>510</v>
      </c>
      <c r="J12" s="4">
        <v>818</v>
      </c>
      <c r="K12" s="4">
        <f t="shared" si="5"/>
        <v>5143</v>
      </c>
    </row>
    <row r="13" spans="1:11" x14ac:dyDescent="0.25">
      <c r="A13" t="s">
        <v>12</v>
      </c>
      <c r="B13">
        <f t="shared" si="0"/>
        <v>2023</v>
      </c>
      <c r="C13" t="str">
        <f t="shared" si="1"/>
        <v>jan</v>
      </c>
      <c r="D13" t="str">
        <f t="shared" si="2"/>
        <v>Janeiro</v>
      </c>
      <c r="E13">
        <f t="shared" si="3"/>
        <v>14</v>
      </c>
      <c r="F13" t="s">
        <v>489</v>
      </c>
      <c r="G13" t="s">
        <v>497</v>
      </c>
      <c r="H13" t="str">
        <f t="shared" si="4"/>
        <v/>
      </c>
      <c r="I13" t="s">
        <v>511</v>
      </c>
      <c r="J13" s="4">
        <v>266</v>
      </c>
      <c r="K13" s="4">
        <f t="shared" si="5"/>
        <v>4877</v>
      </c>
    </row>
    <row r="14" spans="1:11" x14ac:dyDescent="0.25">
      <c r="A14" t="s">
        <v>13</v>
      </c>
      <c r="B14">
        <f t="shared" si="0"/>
        <v>2023</v>
      </c>
      <c r="C14" t="str">
        <f t="shared" si="1"/>
        <v>jan</v>
      </c>
      <c r="D14" t="str">
        <f t="shared" si="2"/>
        <v>Janeiro</v>
      </c>
      <c r="E14">
        <f t="shared" si="3"/>
        <v>16</v>
      </c>
      <c r="F14" t="s">
        <v>489</v>
      </c>
      <c r="G14" t="s">
        <v>498</v>
      </c>
      <c r="H14" t="str">
        <f t="shared" si="4"/>
        <v/>
      </c>
      <c r="I14" t="s">
        <v>512</v>
      </c>
      <c r="J14" s="4">
        <v>334</v>
      </c>
      <c r="K14" s="4">
        <f t="shared" si="5"/>
        <v>4543</v>
      </c>
    </row>
    <row r="15" spans="1:11" x14ac:dyDescent="0.25">
      <c r="A15" t="s">
        <v>14</v>
      </c>
      <c r="B15">
        <f t="shared" si="0"/>
        <v>2023</v>
      </c>
      <c r="C15" t="str">
        <f t="shared" si="1"/>
        <v>jan</v>
      </c>
      <c r="D15" t="str">
        <f t="shared" si="2"/>
        <v>Janeiro</v>
      </c>
      <c r="E15">
        <f t="shared" si="3"/>
        <v>19</v>
      </c>
      <c r="F15" t="s">
        <v>489</v>
      </c>
      <c r="G15" t="s">
        <v>498</v>
      </c>
      <c r="H15" t="str">
        <f t="shared" si="4"/>
        <v/>
      </c>
      <c r="I15" t="s">
        <v>513</v>
      </c>
      <c r="J15" s="4">
        <v>1056</v>
      </c>
      <c r="K15" s="4">
        <f t="shared" si="5"/>
        <v>3487</v>
      </c>
    </row>
    <row r="16" spans="1:11" x14ac:dyDescent="0.25">
      <c r="A16" t="s">
        <v>15</v>
      </c>
      <c r="B16">
        <f t="shared" si="0"/>
        <v>2023</v>
      </c>
      <c r="C16" t="str">
        <f t="shared" si="1"/>
        <v>jan</v>
      </c>
      <c r="D16" t="str">
        <f t="shared" si="2"/>
        <v>Janeiro</v>
      </c>
      <c r="E16">
        <f t="shared" si="3"/>
        <v>20</v>
      </c>
      <c r="F16" t="s">
        <v>489</v>
      </c>
      <c r="G16" t="s">
        <v>492</v>
      </c>
      <c r="H16" t="str">
        <f t="shared" si="4"/>
        <v/>
      </c>
      <c r="I16" t="s">
        <v>514</v>
      </c>
      <c r="J16" s="4">
        <v>879</v>
      </c>
      <c r="K16" s="4">
        <f t="shared" si="5"/>
        <v>2608</v>
      </c>
    </row>
    <row r="17" spans="1:11" x14ac:dyDescent="0.25">
      <c r="A17" t="s">
        <v>15</v>
      </c>
      <c r="B17">
        <f t="shared" si="0"/>
        <v>2023</v>
      </c>
      <c r="C17" t="str">
        <f t="shared" si="1"/>
        <v>jan</v>
      </c>
      <c r="D17" t="str">
        <f t="shared" si="2"/>
        <v>Janeiro</v>
      </c>
      <c r="E17">
        <f t="shared" si="3"/>
        <v>20</v>
      </c>
      <c r="F17" t="s">
        <v>489</v>
      </c>
      <c r="G17" t="s">
        <v>496</v>
      </c>
      <c r="H17" t="str">
        <f t="shared" si="4"/>
        <v/>
      </c>
      <c r="I17" t="s">
        <v>515</v>
      </c>
      <c r="J17" s="4">
        <v>800</v>
      </c>
      <c r="K17" s="4">
        <f t="shared" si="5"/>
        <v>1808</v>
      </c>
    </row>
    <row r="18" spans="1:11" x14ac:dyDescent="0.25">
      <c r="A18" t="s">
        <v>16</v>
      </c>
      <c r="B18">
        <f t="shared" si="0"/>
        <v>2023</v>
      </c>
      <c r="C18" t="str">
        <f t="shared" si="1"/>
        <v>jan</v>
      </c>
      <c r="D18" t="str">
        <f t="shared" si="2"/>
        <v>Janeiro</v>
      </c>
      <c r="E18">
        <f t="shared" si="3"/>
        <v>24</v>
      </c>
      <c r="F18" t="s">
        <v>489</v>
      </c>
      <c r="G18" t="s">
        <v>492</v>
      </c>
      <c r="H18" t="str">
        <f t="shared" si="4"/>
        <v/>
      </c>
      <c r="I18" t="s">
        <v>510</v>
      </c>
      <c r="J18" s="4">
        <v>606</v>
      </c>
      <c r="K18" s="4">
        <f t="shared" si="5"/>
        <v>1202</v>
      </c>
    </row>
    <row r="19" spans="1:11" x14ac:dyDescent="0.25">
      <c r="A19" t="s">
        <v>16</v>
      </c>
      <c r="B19">
        <f t="shared" si="0"/>
        <v>2023</v>
      </c>
      <c r="C19" t="str">
        <f t="shared" si="1"/>
        <v>jan</v>
      </c>
      <c r="D19" t="str">
        <f t="shared" si="2"/>
        <v>Janeiro</v>
      </c>
      <c r="E19">
        <f t="shared" si="3"/>
        <v>24</v>
      </c>
      <c r="F19" t="s">
        <v>489</v>
      </c>
      <c r="G19" t="s">
        <v>493</v>
      </c>
      <c r="H19" t="str">
        <f t="shared" si="4"/>
        <v/>
      </c>
      <c r="I19" t="s">
        <v>516</v>
      </c>
      <c r="J19" s="4">
        <v>217</v>
      </c>
      <c r="K19" s="4">
        <f t="shared" si="5"/>
        <v>985</v>
      </c>
    </row>
    <row r="20" spans="1:11" x14ac:dyDescent="0.25">
      <c r="A20" t="s">
        <v>16</v>
      </c>
      <c r="B20">
        <f t="shared" si="0"/>
        <v>2023</v>
      </c>
      <c r="C20" t="str">
        <f t="shared" si="1"/>
        <v>jan</v>
      </c>
      <c r="D20" t="str">
        <f t="shared" si="2"/>
        <v>Janeiro</v>
      </c>
      <c r="E20">
        <f t="shared" si="3"/>
        <v>24</v>
      </c>
      <c r="F20" t="s">
        <v>489</v>
      </c>
      <c r="G20" t="s">
        <v>492</v>
      </c>
      <c r="H20" t="str">
        <f t="shared" si="4"/>
        <v/>
      </c>
      <c r="I20" t="s">
        <v>517</v>
      </c>
      <c r="J20" s="4">
        <v>254</v>
      </c>
      <c r="K20" s="4">
        <f t="shared" si="5"/>
        <v>731</v>
      </c>
    </row>
    <row r="21" spans="1:11" x14ac:dyDescent="0.25">
      <c r="A21" t="s">
        <v>17</v>
      </c>
      <c r="B21">
        <f t="shared" si="0"/>
        <v>2023</v>
      </c>
      <c r="C21" t="str">
        <f t="shared" si="1"/>
        <v>jan</v>
      </c>
      <c r="D21" t="str">
        <f t="shared" si="2"/>
        <v>Janeiro</v>
      </c>
      <c r="E21">
        <f t="shared" si="3"/>
        <v>26</v>
      </c>
      <c r="F21" t="s">
        <v>489</v>
      </c>
      <c r="G21" t="s">
        <v>493</v>
      </c>
      <c r="H21" t="str">
        <f t="shared" si="4"/>
        <v/>
      </c>
      <c r="I21" t="s">
        <v>518</v>
      </c>
      <c r="J21" s="4">
        <v>546</v>
      </c>
      <c r="K21" s="4">
        <f t="shared" si="5"/>
        <v>185</v>
      </c>
    </row>
    <row r="22" spans="1:11" x14ac:dyDescent="0.25">
      <c r="A22" t="s">
        <v>17</v>
      </c>
      <c r="B22">
        <f t="shared" si="0"/>
        <v>2023</v>
      </c>
      <c r="C22" t="str">
        <f t="shared" si="1"/>
        <v>jan</v>
      </c>
      <c r="D22" t="str">
        <f t="shared" si="2"/>
        <v>Janeiro</v>
      </c>
      <c r="E22">
        <f t="shared" si="3"/>
        <v>26</v>
      </c>
      <c r="F22" t="s">
        <v>489</v>
      </c>
      <c r="G22" t="s">
        <v>499</v>
      </c>
      <c r="H22" t="str">
        <f t="shared" si="4"/>
        <v/>
      </c>
      <c r="I22" t="s">
        <v>519</v>
      </c>
      <c r="J22" s="4">
        <v>526</v>
      </c>
      <c r="K22" s="4">
        <f t="shared" si="5"/>
        <v>-341</v>
      </c>
    </row>
    <row r="23" spans="1:11" x14ac:dyDescent="0.25">
      <c r="A23" t="s">
        <v>18</v>
      </c>
      <c r="B23">
        <f t="shared" si="0"/>
        <v>2023</v>
      </c>
      <c r="C23" t="str">
        <f t="shared" si="1"/>
        <v>jan</v>
      </c>
      <c r="D23" t="str">
        <f t="shared" si="2"/>
        <v>Janeiro</v>
      </c>
      <c r="E23">
        <f t="shared" si="3"/>
        <v>27</v>
      </c>
      <c r="F23" t="s">
        <v>489</v>
      </c>
      <c r="G23" t="s">
        <v>497</v>
      </c>
      <c r="H23" t="str">
        <f t="shared" si="4"/>
        <v/>
      </c>
      <c r="I23" t="s">
        <v>520</v>
      </c>
      <c r="J23" s="4">
        <v>752</v>
      </c>
      <c r="K23" s="4">
        <f t="shared" si="5"/>
        <v>-1093</v>
      </c>
    </row>
    <row r="24" spans="1:11" x14ac:dyDescent="0.25">
      <c r="A24" t="s">
        <v>19</v>
      </c>
      <c r="B24">
        <f t="shared" si="0"/>
        <v>2023</v>
      </c>
      <c r="C24" t="str">
        <f t="shared" si="1"/>
        <v>fev</v>
      </c>
      <c r="D24" t="str">
        <f t="shared" si="2"/>
        <v>Fevereiro</v>
      </c>
      <c r="E24">
        <f t="shared" si="3"/>
        <v>1</v>
      </c>
      <c r="F24" t="s">
        <v>488</v>
      </c>
      <c r="G24" t="s">
        <v>490</v>
      </c>
      <c r="H24" t="str">
        <f t="shared" si="4"/>
        <v>Salário</v>
      </c>
      <c r="I24" t="s">
        <v>500</v>
      </c>
      <c r="J24" s="4">
        <v>7089</v>
      </c>
      <c r="K24" s="4">
        <f t="shared" si="5"/>
        <v>5996</v>
      </c>
    </row>
    <row r="25" spans="1:11" x14ac:dyDescent="0.25">
      <c r="A25" t="s">
        <v>20</v>
      </c>
      <c r="B25">
        <f t="shared" si="0"/>
        <v>2023</v>
      </c>
      <c r="C25" t="str">
        <f t="shared" si="1"/>
        <v>fev</v>
      </c>
      <c r="D25" t="str">
        <f t="shared" si="2"/>
        <v>Fevereiro</v>
      </c>
      <c r="E25">
        <f t="shared" si="3"/>
        <v>3</v>
      </c>
      <c r="F25" t="s">
        <v>489</v>
      </c>
      <c r="G25" t="s">
        <v>492</v>
      </c>
      <c r="H25" t="str">
        <f t="shared" si="4"/>
        <v/>
      </c>
      <c r="I25" t="s">
        <v>517</v>
      </c>
      <c r="J25" s="4">
        <v>243</v>
      </c>
      <c r="K25" s="4">
        <f t="shared" si="5"/>
        <v>5753</v>
      </c>
    </row>
    <row r="26" spans="1:11" x14ac:dyDescent="0.25">
      <c r="A26" t="s">
        <v>20</v>
      </c>
      <c r="B26">
        <f t="shared" si="0"/>
        <v>2023</v>
      </c>
      <c r="C26" t="str">
        <f t="shared" si="1"/>
        <v>fev</v>
      </c>
      <c r="D26" t="str">
        <f t="shared" si="2"/>
        <v>Fevereiro</v>
      </c>
      <c r="E26">
        <f t="shared" si="3"/>
        <v>3</v>
      </c>
      <c r="F26" t="s">
        <v>489</v>
      </c>
      <c r="G26" t="s">
        <v>498</v>
      </c>
      <c r="H26" t="str">
        <f t="shared" si="4"/>
        <v/>
      </c>
      <c r="I26" t="s">
        <v>513</v>
      </c>
      <c r="J26" s="4">
        <v>1268</v>
      </c>
      <c r="K26" s="4">
        <f t="shared" si="5"/>
        <v>4485</v>
      </c>
    </row>
    <row r="27" spans="1:11" x14ac:dyDescent="0.25">
      <c r="A27" t="s">
        <v>21</v>
      </c>
      <c r="B27">
        <f t="shared" si="0"/>
        <v>2023</v>
      </c>
      <c r="C27" t="str">
        <f t="shared" si="1"/>
        <v>fev</v>
      </c>
      <c r="D27" t="str">
        <f t="shared" si="2"/>
        <v>Fevereiro</v>
      </c>
      <c r="E27">
        <f t="shared" si="3"/>
        <v>7</v>
      </c>
      <c r="F27" t="s">
        <v>488</v>
      </c>
      <c r="G27" t="s">
        <v>495</v>
      </c>
      <c r="H27" t="str">
        <f t="shared" si="4"/>
        <v>Outras Receitas</v>
      </c>
      <c r="I27" t="s">
        <v>507</v>
      </c>
      <c r="J27" s="4">
        <v>523</v>
      </c>
      <c r="K27" s="4">
        <f t="shared" si="5"/>
        <v>5008</v>
      </c>
    </row>
    <row r="28" spans="1:11" x14ac:dyDescent="0.25">
      <c r="A28" t="s">
        <v>21</v>
      </c>
      <c r="B28">
        <f t="shared" si="0"/>
        <v>2023</v>
      </c>
      <c r="C28" t="str">
        <f t="shared" si="1"/>
        <v>fev</v>
      </c>
      <c r="D28" t="str">
        <f t="shared" si="2"/>
        <v>Fevereiro</v>
      </c>
      <c r="E28">
        <f t="shared" si="3"/>
        <v>7</v>
      </c>
      <c r="F28" t="s">
        <v>489</v>
      </c>
      <c r="G28" t="s">
        <v>492</v>
      </c>
      <c r="H28" t="str">
        <f t="shared" si="4"/>
        <v/>
      </c>
      <c r="I28" t="s">
        <v>504</v>
      </c>
      <c r="J28" s="4">
        <v>2000</v>
      </c>
      <c r="K28" s="4">
        <f t="shared" si="5"/>
        <v>3008</v>
      </c>
    </row>
    <row r="29" spans="1:11" x14ac:dyDescent="0.25">
      <c r="A29" t="s">
        <v>22</v>
      </c>
      <c r="B29">
        <f t="shared" si="0"/>
        <v>2023</v>
      </c>
      <c r="C29" t="str">
        <f t="shared" si="1"/>
        <v>fev</v>
      </c>
      <c r="D29" t="str">
        <f t="shared" si="2"/>
        <v>Fevereiro</v>
      </c>
      <c r="E29">
        <f t="shared" si="3"/>
        <v>8</v>
      </c>
      <c r="F29" t="s">
        <v>489</v>
      </c>
      <c r="G29" t="s">
        <v>497</v>
      </c>
      <c r="H29" t="str">
        <f t="shared" si="4"/>
        <v/>
      </c>
      <c r="I29" t="s">
        <v>520</v>
      </c>
      <c r="J29" s="4">
        <v>758</v>
      </c>
      <c r="K29" s="4">
        <f t="shared" si="5"/>
        <v>2250</v>
      </c>
    </row>
    <row r="30" spans="1:11" x14ac:dyDescent="0.25">
      <c r="A30" t="s">
        <v>23</v>
      </c>
      <c r="B30">
        <f t="shared" si="0"/>
        <v>2023</v>
      </c>
      <c r="C30" t="str">
        <f t="shared" si="1"/>
        <v>fev</v>
      </c>
      <c r="D30" t="str">
        <f t="shared" si="2"/>
        <v>Fevereiro</v>
      </c>
      <c r="E30">
        <f t="shared" si="3"/>
        <v>9</v>
      </c>
      <c r="F30" t="s">
        <v>489</v>
      </c>
      <c r="G30" t="s">
        <v>492</v>
      </c>
      <c r="H30" t="str">
        <f t="shared" si="4"/>
        <v/>
      </c>
      <c r="I30" t="s">
        <v>508</v>
      </c>
      <c r="J30" s="4">
        <v>355</v>
      </c>
      <c r="K30" s="4">
        <f t="shared" si="5"/>
        <v>1895</v>
      </c>
    </row>
    <row r="31" spans="1:11" x14ac:dyDescent="0.25">
      <c r="A31" t="s">
        <v>24</v>
      </c>
      <c r="B31">
        <f t="shared" si="0"/>
        <v>2023</v>
      </c>
      <c r="C31" t="str">
        <f t="shared" si="1"/>
        <v>fev</v>
      </c>
      <c r="D31" t="str">
        <f t="shared" si="2"/>
        <v>Fevereiro</v>
      </c>
      <c r="E31">
        <f t="shared" si="3"/>
        <v>10</v>
      </c>
      <c r="F31" t="s">
        <v>489</v>
      </c>
      <c r="G31" t="s">
        <v>499</v>
      </c>
      <c r="H31" t="str">
        <f t="shared" si="4"/>
        <v/>
      </c>
      <c r="I31" t="s">
        <v>521</v>
      </c>
      <c r="J31" s="4">
        <v>1163</v>
      </c>
      <c r="K31" s="4">
        <f t="shared" si="5"/>
        <v>732</v>
      </c>
    </row>
    <row r="32" spans="1:11" x14ac:dyDescent="0.25">
      <c r="A32" t="s">
        <v>25</v>
      </c>
      <c r="B32">
        <f t="shared" si="0"/>
        <v>2023</v>
      </c>
      <c r="C32" t="str">
        <f t="shared" si="1"/>
        <v>fev</v>
      </c>
      <c r="D32" t="str">
        <f t="shared" si="2"/>
        <v>Fevereiro</v>
      </c>
      <c r="E32">
        <f t="shared" si="3"/>
        <v>12</v>
      </c>
      <c r="F32" t="s">
        <v>489</v>
      </c>
      <c r="G32" t="s">
        <v>493</v>
      </c>
      <c r="H32" t="str">
        <f t="shared" si="4"/>
        <v/>
      </c>
      <c r="I32" t="s">
        <v>516</v>
      </c>
      <c r="J32" s="4">
        <v>207</v>
      </c>
      <c r="K32" s="4">
        <f t="shared" si="5"/>
        <v>525</v>
      </c>
    </row>
    <row r="33" spans="1:11" x14ac:dyDescent="0.25">
      <c r="A33" t="s">
        <v>26</v>
      </c>
      <c r="B33">
        <f t="shared" si="0"/>
        <v>2023</v>
      </c>
      <c r="C33" t="str">
        <f t="shared" si="1"/>
        <v>fev</v>
      </c>
      <c r="D33" t="str">
        <f t="shared" si="2"/>
        <v>Fevereiro</v>
      </c>
      <c r="E33">
        <f t="shared" si="3"/>
        <v>14</v>
      </c>
      <c r="F33" t="s">
        <v>489</v>
      </c>
      <c r="G33" t="s">
        <v>498</v>
      </c>
      <c r="H33" t="str">
        <f t="shared" si="4"/>
        <v/>
      </c>
      <c r="I33" t="s">
        <v>512</v>
      </c>
      <c r="J33" s="4">
        <v>283</v>
      </c>
      <c r="K33" s="4">
        <f t="shared" si="5"/>
        <v>242</v>
      </c>
    </row>
    <row r="34" spans="1:11" x14ac:dyDescent="0.25">
      <c r="A34" t="s">
        <v>27</v>
      </c>
      <c r="B34">
        <f t="shared" si="0"/>
        <v>2023</v>
      </c>
      <c r="C34" t="str">
        <f t="shared" si="1"/>
        <v>fev</v>
      </c>
      <c r="D34" t="str">
        <f t="shared" si="2"/>
        <v>Fevereiro</v>
      </c>
      <c r="E34">
        <f t="shared" si="3"/>
        <v>16</v>
      </c>
      <c r="F34" t="s">
        <v>489</v>
      </c>
      <c r="G34" t="s">
        <v>492</v>
      </c>
      <c r="H34" t="str">
        <f t="shared" si="4"/>
        <v/>
      </c>
      <c r="I34" t="s">
        <v>514</v>
      </c>
      <c r="J34" s="4">
        <v>867</v>
      </c>
      <c r="K34" s="4">
        <f t="shared" si="5"/>
        <v>-625</v>
      </c>
    </row>
    <row r="35" spans="1:11" x14ac:dyDescent="0.25">
      <c r="A35" t="s">
        <v>28</v>
      </c>
      <c r="B35">
        <f t="shared" si="0"/>
        <v>2023</v>
      </c>
      <c r="C35" t="str">
        <f t="shared" si="1"/>
        <v>fev</v>
      </c>
      <c r="D35" t="str">
        <f t="shared" si="2"/>
        <v>Fevereiro</v>
      </c>
      <c r="E35">
        <f t="shared" si="3"/>
        <v>20</v>
      </c>
      <c r="F35" t="s">
        <v>489</v>
      </c>
      <c r="G35" t="s">
        <v>493</v>
      </c>
      <c r="H35" t="str">
        <f t="shared" si="4"/>
        <v/>
      </c>
      <c r="I35" t="s">
        <v>518</v>
      </c>
      <c r="J35" s="4">
        <v>569</v>
      </c>
      <c r="K35" s="4">
        <f t="shared" si="5"/>
        <v>-1194</v>
      </c>
    </row>
    <row r="36" spans="1:11" x14ac:dyDescent="0.25">
      <c r="A36" t="s">
        <v>29</v>
      </c>
      <c r="B36">
        <f t="shared" si="0"/>
        <v>2023</v>
      </c>
      <c r="C36" t="str">
        <f t="shared" si="1"/>
        <v>fev</v>
      </c>
      <c r="D36" t="str">
        <f t="shared" si="2"/>
        <v>Fevereiro</v>
      </c>
      <c r="E36">
        <f t="shared" si="3"/>
        <v>21</v>
      </c>
      <c r="F36" t="s">
        <v>488</v>
      </c>
      <c r="G36" t="s">
        <v>491</v>
      </c>
      <c r="H36" t="str">
        <f t="shared" si="4"/>
        <v>Outras Receitas</v>
      </c>
      <c r="I36" t="s">
        <v>501</v>
      </c>
      <c r="J36" s="4">
        <v>1900</v>
      </c>
      <c r="K36" s="4">
        <f t="shared" si="5"/>
        <v>706</v>
      </c>
    </row>
    <row r="37" spans="1:11" x14ac:dyDescent="0.25">
      <c r="A37" t="s">
        <v>30</v>
      </c>
      <c r="B37">
        <f t="shared" si="0"/>
        <v>2023</v>
      </c>
      <c r="C37" t="str">
        <f t="shared" si="1"/>
        <v>fev</v>
      </c>
      <c r="D37" t="str">
        <f t="shared" si="2"/>
        <v>Fevereiro</v>
      </c>
      <c r="E37">
        <f t="shared" si="3"/>
        <v>22</v>
      </c>
      <c r="F37" t="s">
        <v>489</v>
      </c>
      <c r="G37" t="s">
        <v>492</v>
      </c>
      <c r="H37" t="str">
        <f t="shared" si="4"/>
        <v/>
      </c>
      <c r="I37" t="s">
        <v>502</v>
      </c>
      <c r="J37" s="4">
        <v>197</v>
      </c>
      <c r="K37" s="4">
        <f t="shared" si="5"/>
        <v>509</v>
      </c>
    </row>
    <row r="38" spans="1:11" x14ac:dyDescent="0.25">
      <c r="A38" t="s">
        <v>31</v>
      </c>
      <c r="B38">
        <f t="shared" si="0"/>
        <v>2023</v>
      </c>
      <c r="C38" t="str">
        <f t="shared" si="1"/>
        <v>fev</v>
      </c>
      <c r="D38" t="str">
        <f t="shared" si="2"/>
        <v>Fevereiro</v>
      </c>
      <c r="E38">
        <f t="shared" si="3"/>
        <v>28</v>
      </c>
      <c r="F38" t="s">
        <v>489</v>
      </c>
      <c r="G38" t="s">
        <v>492</v>
      </c>
      <c r="H38" t="str">
        <f t="shared" si="4"/>
        <v/>
      </c>
      <c r="I38" t="s">
        <v>503</v>
      </c>
      <c r="J38" s="4">
        <v>155</v>
      </c>
      <c r="K38" s="4">
        <f t="shared" si="5"/>
        <v>354</v>
      </c>
    </row>
    <row r="39" spans="1:11" x14ac:dyDescent="0.25">
      <c r="A39" t="s">
        <v>32</v>
      </c>
      <c r="B39">
        <f t="shared" si="0"/>
        <v>2023</v>
      </c>
      <c r="C39" t="str">
        <f t="shared" si="1"/>
        <v>mar</v>
      </c>
      <c r="D39" t="str">
        <f t="shared" si="2"/>
        <v>Março</v>
      </c>
      <c r="E39">
        <f t="shared" si="3"/>
        <v>1</v>
      </c>
      <c r="F39" t="s">
        <v>488</v>
      </c>
      <c r="G39" t="s">
        <v>490</v>
      </c>
      <c r="H39" t="str">
        <f t="shared" si="4"/>
        <v>Salário</v>
      </c>
      <c r="I39" t="s">
        <v>500</v>
      </c>
      <c r="J39" s="4">
        <v>6917</v>
      </c>
      <c r="K39" s="4">
        <f t="shared" si="5"/>
        <v>7271</v>
      </c>
    </row>
    <row r="40" spans="1:11" x14ac:dyDescent="0.25">
      <c r="A40" t="s">
        <v>33</v>
      </c>
      <c r="B40">
        <f t="shared" si="0"/>
        <v>2023</v>
      </c>
      <c r="C40" t="str">
        <f t="shared" si="1"/>
        <v>mar</v>
      </c>
      <c r="D40" t="str">
        <f t="shared" si="2"/>
        <v>Março</v>
      </c>
      <c r="E40">
        <f t="shared" si="3"/>
        <v>2</v>
      </c>
      <c r="F40" t="s">
        <v>489</v>
      </c>
      <c r="G40" t="s">
        <v>493</v>
      </c>
      <c r="H40" t="str">
        <f t="shared" si="4"/>
        <v/>
      </c>
      <c r="I40" t="s">
        <v>522</v>
      </c>
      <c r="J40" s="4">
        <v>989</v>
      </c>
      <c r="K40" s="4">
        <f t="shared" si="5"/>
        <v>6282</v>
      </c>
    </row>
    <row r="41" spans="1:11" x14ac:dyDescent="0.25">
      <c r="A41" t="s">
        <v>33</v>
      </c>
      <c r="B41">
        <f t="shared" si="0"/>
        <v>2023</v>
      </c>
      <c r="C41" t="str">
        <f t="shared" si="1"/>
        <v>mar</v>
      </c>
      <c r="D41" t="str">
        <f t="shared" si="2"/>
        <v>Março</v>
      </c>
      <c r="E41">
        <f t="shared" si="3"/>
        <v>2</v>
      </c>
      <c r="F41" t="s">
        <v>489</v>
      </c>
      <c r="G41" t="s">
        <v>498</v>
      </c>
      <c r="H41" t="str">
        <f t="shared" si="4"/>
        <v/>
      </c>
      <c r="I41" t="s">
        <v>512</v>
      </c>
      <c r="J41" s="4">
        <v>349</v>
      </c>
      <c r="K41" s="4">
        <f t="shared" si="5"/>
        <v>5933</v>
      </c>
    </row>
    <row r="42" spans="1:11" x14ac:dyDescent="0.25">
      <c r="A42" t="s">
        <v>34</v>
      </c>
      <c r="B42">
        <f t="shared" si="0"/>
        <v>2023</v>
      </c>
      <c r="C42" t="str">
        <f t="shared" si="1"/>
        <v>mar</v>
      </c>
      <c r="D42" t="str">
        <f t="shared" si="2"/>
        <v>Março</v>
      </c>
      <c r="E42">
        <f t="shared" si="3"/>
        <v>3</v>
      </c>
      <c r="F42" t="s">
        <v>489</v>
      </c>
      <c r="G42" t="s">
        <v>492</v>
      </c>
      <c r="H42" t="str">
        <f t="shared" si="4"/>
        <v/>
      </c>
      <c r="I42" t="s">
        <v>523</v>
      </c>
      <c r="J42" s="4">
        <v>550</v>
      </c>
      <c r="K42" s="4">
        <f t="shared" si="5"/>
        <v>5383</v>
      </c>
    </row>
    <row r="43" spans="1:11" x14ac:dyDescent="0.25">
      <c r="A43" t="s">
        <v>35</v>
      </c>
      <c r="B43">
        <f t="shared" si="0"/>
        <v>2023</v>
      </c>
      <c r="C43" t="str">
        <f t="shared" si="1"/>
        <v>mar</v>
      </c>
      <c r="D43" t="str">
        <f t="shared" si="2"/>
        <v>Março</v>
      </c>
      <c r="E43">
        <f t="shared" si="3"/>
        <v>4</v>
      </c>
      <c r="F43" t="s">
        <v>489</v>
      </c>
      <c r="G43" t="s">
        <v>492</v>
      </c>
      <c r="H43" t="str">
        <f t="shared" si="4"/>
        <v/>
      </c>
      <c r="I43" t="s">
        <v>510</v>
      </c>
      <c r="J43" s="4">
        <v>221</v>
      </c>
      <c r="K43" s="4">
        <f t="shared" si="5"/>
        <v>5162</v>
      </c>
    </row>
    <row r="44" spans="1:11" x14ac:dyDescent="0.25">
      <c r="A44" t="s">
        <v>36</v>
      </c>
      <c r="B44">
        <f t="shared" si="0"/>
        <v>2023</v>
      </c>
      <c r="C44" t="str">
        <f t="shared" si="1"/>
        <v>mar</v>
      </c>
      <c r="D44" t="str">
        <f t="shared" si="2"/>
        <v>Março</v>
      </c>
      <c r="E44">
        <f t="shared" si="3"/>
        <v>5</v>
      </c>
      <c r="F44" t="s">
        <v>489</v>
      </c>
      <c r="G44" t="s">
        <v>492</v>
      </c>
      <c r="H44" t="str">
        <f t="shared" si="4"/>
        <v/>
      </c>
      <c r="I44" t="s">
        <v>504</v>
      </c>
      <c r="J44" s="4">
        <v>2000</v>
      </c>
      <c r="K44" s="4">
        <f t="shared" si="5"/>
        <v>3162</v>
      </c>
    </row>
    <row r="45" spans="1:11" x14ac:dyDescent="0.25">
      <c r="A45" t="s">
        <v>36</v>
      </c>
      <c r="B45">
        <f t="shared" si="0"/>
        <v>2023</v>
      </c>
      <c r="C45" t="str">
        <f t="shared" si="1"/>
        <v>mar</v>
      </c>
      <c r="D45" t="str">
        <f t="shared" si="2"/>
        <v>Março</v>
      </c>
      <c r="E45">
        <f t="shared" si="3"/>
        <v>5</v>
      </c>
      <c r="F45" t="s">
        <v>489</v>
      </c>
      <c r="G45" t="s">
        <v>497</v>
      </c>
      <c r="H45" t="str">
        <f t="shared" si="4"/>
        <v/>
      </c>
      <c r="I45" t="s">
        <v>520</v>
      </c>
      <c r="J45" s="4">
        <v>725</v>
      </c>
      <c r="K45" s="4">
        <f t="shared" si="5"/>
        <v>2437</v>
      </c>
    </row>
    <row r="46" spans="1:11" x14ac:dyDescent="0.25">
      <c r="A46" t="s">
        <v>37</v>
      </c>
      <c r="B46">
        <f t="shared" si="0"/>
        <v>2023</v>
      </c>
      <c r="C46" t="str">
        <f t="shared" si="1"/>
        <v>mar</v>
      </c>
      <c r="D46" t="str">
        <f t="shared" si="2"/>
        <v>Março</v>
      </c>
      <c r="E46">
        <f t="shared" si="3"/>
        <v>6</v>
      </c>
      <c r="F46" t="s">
        <v>488</v>
      </c>
      <c r="G46" t="s">
        <v>491</v>
      </c>
      <c r="H46" t="str">
        <f t="shared" si="4"/>
        <v>Outras Receitas</v>
      </c>
      <c r="I46" t="s">
        <v>501</v>
      </c>
      <c r="J46" s="4">
        <v>1643</v>
      </c>
      <c r="K46" s="4">
        <f t="shared" si="5"/>
        <v>4080</v>
      </c>
    </row>
    <row r="47" spans="1:11" x14ac:dyDescent="0.25">
      <c r="A47" t="s">
        <v>37</v>
      </c>
      <c r="B47">
        <f t="shared" si="0"/>
        <v>2023</v>
      </c>
      <c r="C47" t="str">
        <f t="shared" si="1"/>
        <v>mar</v>
      </c>
      <c r="D47" t="str">
        <f t="shared" si="2"/>
        <v>Março</v>
      </c>
      <c r="E47">
        <f t="shared" si="3"/>
        <v>6</v>
      </c>
      <c r="F47" t="s">
        <v>489</v>
      </c>
      <c r="G47" t="s">
        <v>492</v>
      </c>
      <c r="H47" t="str">
        <f t="shared" si="4"/>
        <v/>
      </c>
      <c r="I47" t="s">
        <v>514</v>
      </c>
      <c r="J47" s="4">
        <v>934</v>
      </c>
      <c r="K47" s="4">
        <f t="shared" si="5"/>
        <v>3146</v>
      </c>
    </row>
    <row r="48" spans="1:11" x14ac:dyDescent="0.25">
      <c r="A48" t="s">
        <v>38</v>
      </c>
      <c r="B48">
        <f t="shared" si="0"/>
        <v>2023</v>
      </c>
      <c r="C48" t="str">
        <f t="shared" si="1"/>
        <v>mar</v>
      </c>
      <c r="D48" t="str">
        <f t="shared" si="2"/>
        <v>Março</v>
      </c>
      <c r="E48">
        <f t="shared" si="3"/>
        <v>14</v>
      </c>
      <c r="F48" t="s">
        <v>489</v>
      </c>
      <c r="G48" t="s">
        <v>492</v>
      </c>
      <c r="H48" t="str">
        <f t="shared" si="4"/>
        <v/>
      </c>
      <c r="I48" t="s">
        <v>503</v>
      </c>
      <c r="J48" s="4">
        <v>145</v>
      </c>
      <c r="K48" s="4">
        <f t="shared" si="5"/>
        <v>3001</v>
      </c>
    </row>
    <row r="49" spans="1:11" x14ac:dyDescent="0.25">
      <c r="A49" t="s">
        <v>39</v>
      </c>
      <c r="B49">
        <f t="shared" si="0"/>
        <v>2023</v>
      </c>
      <c r="C49" t="str">
        <f t="shared" si="1"/>
        <v>mar</v>
      </c>
      <c r="D49" t="str">
        <f t="shared" si="2"/>
        <v>Março</v>
      </c>
      <c r="E49">
        <f t="shared" si="3"/>
        <v>16</v>
      </c>
      <c r="F49" t="s">
        <v>489</v>
      </c>
      <c r="G49" t="s">
        <v>492</v>
      </c>
      <c r="H49" t="str">
        <f t="shared" si="4"/>
        <v/>
      </c>
      <c r="I49" t="s">
        <v>517</v>
      </c>
      <c r="J49" s="4">
        <v>251</v>
      </c>
      <c r="K49" s="4">
        <f t="shared" si="5"/>
        <v>2750</v>
      </c>
    </row>
    <row r="50" spans="1:11" x14ac:dyDescent="0.25">
      <c r="A50" t="s">
        <v>40</v>
      </c>
      <c r="B50">
        <f t="shared" si="0"/>
        <v>2023</v>
      </c>
      <c r="C50" t="str">
        <f t="shared" si="1"/>
        <v>mar</v>
      </c>
      <c r="D50" t="str">
        <f t="shared" si="2"/>
        <v>Março</v>
      </c>
      <c r="E50">
        <f t="shared" si="3"/>
        <v>17</v>
      </c>
      <c r="F50" t="s">
        <v>489</v>
      </c>
      <c r="G50" t="s">
        <v>497</v>
      </c>
      <c r="H50" t="str">
        <f t="shared" si="4"/>
        <v/>
      </c>
      <c r="I50" t="s">
        <v>511</v>
      </c>
      <c r="J50" s="4">
        <v>723</v>
      </c>
      <c r="K50" s="4">
        <f t="shared" si="5"/>
        <v>2027</v>
      </c>
    </row>
    <row r="51" spans="1:11" x14ac:dyDescent="0.25">
      <c r="A51" t="s">
        <v>40</v>
      </c>
      <c r="B51">
        <f t="shared" si="0"/>
        <v>2023</v>
      </c>
      <c r="C51" t="str">
        <f t="shared" si="1"/>
        <v>mar</v>
      </c>
      <c r="D51" t="str">
        <f t="shared" si="2"/>
        <v>Março</v>
      </c>
      <c r="E51">
        <f t="shared" si="3"/>
        <v>17</v>
      </c>
      <c r="F51" t="s">
        <v>488</v>
      </c>
      <c r="G51" t="s">
        <v>495</v>
      </c>
      <c r="H51" t="str">
        <f t="shared" si="4"/>
        <v>Outras Receitas</v>
      </c>
      <c r="I51" t="s">
        <v>507</v>
      </c>
      <c r="J51" s="4">
        <v>296</v>
      </c>
      <c r="K51" s="4">
        <f t="shared" si="5"/>
        <v>2323</v>
      </c>
    </row>
    <row r="52" spans="1:11" x14ac:dyDescent="0.25">
      <c r="A52" t="s">
        <v>41</v>
      </c>
      <c r="B52">
        <f t="shared" si="0"/>
        <v>2023</v>
      </c>
      <c r="C52" t="str">
        <f t="shared" si="1"/>
        <v>mar</v>
      </c>
      <c r="D52" t="str">
        <f t="shared" si="2"/>
        <v>Março</v>
      </c>
      <c r="E52">
        <f t="shared" si="3"/>
        <v>19</v>
      </c>
      <c r="F52" t="s">
        <v>489</v>
      </c>
      <c r="G52" t="s">
        <v>493</v>
      </c>
      <c r="H52" t="str">
        <f t="shared" si="4"/>
        <v/>
      </c>
      <c r="I52" t="s">
        <v>518</v>
      </c>
      <c r="J52" s="4">
        <v>529</v>
      </c>
      <c r="K52" s="4">
        <f t="shared" si="5"/>
        <v>1794</v>
      </c>
    </row>
    <row r="53" spans="1:11" x14ac:dyDescent="0.25">
      <c r="A53" t="s">
        <v>41</v>
      </c>
      <c r="B53">
        <f t="shared" si="0"/>
        <v>2023</v>
      </c>
      <c r="C53" t="str">
        <f t="shared" si="1"/>
        <v>mar</v>
      </c>
      <c r="D53" t="str">
        <f t="shared" si="2"/>
        <v>Março</v>
      </c>
      <c r="E53">
        <f t="shared" si="3"/>
        <v>19</v>
      </c>
      <c r="F53" t="s">
        <v>489</v>
      </c>
      <c r="G53" t="s">
        <v>498</v>
      </c>
      <c r="H53" t="str">
        <f t="shared" si="4"/>
        <v/>
      </c>
      <c r="I53" t="s">
        <v>513</v>
      </c>
      <c r="J53" s="4">
        <v>1298</v>
      </c>
      <c r="K53" s="4">
        <f t="shared" si="5"/>
        <v>496</v>
      </c>
    </row>
    <row r="54" spans="1:11" x14ac:dyDescent="0.25">
      <c r="A54" t="s">
        <v>42</v>
      </c>
      <c r="B54">
        <f t="shared" si="0"/>
        <v>2023</v>
      </c>
      <c r="C54" t="str">
        <f t="shared" si="1"/>
        <v>mar</v>
      </c>
      <c r="D54" t="str">
        <f t="shared" si="2"/>
        <v>Março</v>
      </c>
      <c r="E54">
        <f t="shared" si="3"/>
        <v>21</v>
      </c>
      <c r="F54" t="s">
        <v>489</v>
      </c>
      <c r="G54" t="s">
        <v>492</v>
      </c>
      <c r="H54" t="str">
        <f t="shared" si="4"/>
        <v/>
      </c>
      <c r="I54" t="s">
        <v>508</v>
      </c>
      <c r="J54" s="4">
        <v>236</v>
      </c>
      <c r="K54" s="4">
        <f t="shared" si="5"/>
        <v>260</v>
      </c>
    </row>
    <row r="55" spans="1:11" x14ac:dyDescent="0.25">
      <c r="A55" t="s">
        <v>43</v>
      </c>
      <c r="B55">
        <f t="shared" si="0"/>
        <v>2023</v>
      </c>
      <c r="C55" t="str">
        <f t="shared" si="1"/>
        <v>mar</v>
      </c>
      <c r="D55" t="str">
        <f t="shared" si="2"/>
        <v>Março</v>
      </c>
      <c r="E55">
        <f t="shared" si="3"/>
        <v>26</v>
      </c>
      <c r="F55" t="s">
        <v>489</v>
      </c>
      <c r="G55" t="s">
        <v>493</v>
      </c>
      <c r="H55" t="str">
        <f t="shared" si="4"/>
        <v/>
      </c>
      <c r="I55" t="s">
        <v>516</v>
      </c>
      <c r="J55" s="4">
        <v>226</v>
      </c>
      <c r="K55" s="4">
        <f t="shared" si="5"/>
        <v>34</v>
      </c>
    </row>
    <row r="56" spans="1:11" x14ac:dyDescent="0.25">
      <c r="A56" t="s">
        <v>43</v>
      </c>
      <c r="B56">
        <f t="shared" si="0"/>
        <v>2023</v>
      </c>
      <c r="C56" t="str">
        <f t="shared" si="1"/>
        <v>mar</v>
      </c>
      <c r="D56" t="str">
        <f t="shared" si="2"/>
        <v>Março</v>
      </c>
      <c r="E56">
        <f t="shared" si="3"/>
        <v>26</v>
      </c>
      <c r="F56" t="s">
        <v>489</v>
      </c>
      <c r="G56" t="s">
        <v>493</v>
      </c>
      <c r="H56" t="str">
        <f t="shared" si="4"/>
        <v/>
      </c>
      <c r="I56" t="s">
        <v>505</v>
      </c>
      <c r="J56" s="4">
        <v>1085</v>
      </c>
      <c r="K56" s="4">
        <f t="shared" si="5"/>
        <v>-1051</v>
      </c>
    </row>
    <row r="57" spans="1:11" x14ac:dyDescent="0.25">
      <c r="A57" t="s">
        <v>44</v>
      </c>
      <c r="B57">
        <f t="shared" si="0"/>
        <v>2023</v>
      </c>
      <c r="C57" t="str">
        <f t="shared" si="1"/>
        <v>mar</v>
      </c>
      <c r="D57" t="str">
        <f t="shared" si="2"/>
        <v>Março</v>
      </c>
      <c r="E57">
        <f t="shared" si="3"/>
        <v>27</v>
      </c>
      <c r="F57" t="s">
        <v>489</v>
      </c>
      <c r="G57" t="s">
        <v>492</v>
      </c>
      <c r="H57" t="str">
        <f t="shared" si="4"/>
        <v/>
      </c>
      <c r="I57" t="s">
        <v>502</v>
      </c>
      <c r="J57" s="4">
        <v>196</v>
      </c>
      <c r="K57" s="4">
        <f t="shared" si="5"/>
        <v>-1247</v>
      </c>
    </row>
    <row r="58" spans="1:11" x14ac:dyDescent="0.25">
      <c r="A58" t="s">
        <v>45</v>
      </c>
      <c r="B58">
        <f t="shared" si="0"/>
        <v>2023</v>
      </c>
      <c r="C58" t="str">
        <f t="shared" si="1"/>
        <v>abr</v>
      </c>
      <c r="D58" t="str">
        <f t="shared" si="2"/>
        <v>Abril</v>
      </c>
      <c r="E58">
        <f t="shared" si="3"/>
        <v>1</v>
      </c>
      <c r="F58" t="s">
        <v>488</v>
      </c>
      <c r="G58" t="s">
        <v>490</v>
      </c>
      <c r="H58" t="str">
        <f t="shared" si="4"/>
        <v>Salário</v>
      </c>
      <c r="I58" t="s">
        <v>500</v>
      </c>
      <c r="J58" s="4">
        <v>7190</v>
      </c>
      <c r="K58" s="4">
        <f t="shared" si="5"/>
        <v>5943</v>
      </c>
    </row>
    <row r="59" spans="1:11" x14ac:dyDescent="0.25">
      <c r="A59" t="s">
        <v>46</v>
      </c>
      <c r="B59">
        <f t="shared" si="0"/>
        <v>2023</v>
      </c>
      <c r="C59" t="str">
        <f t="shared" si="1"/>
        <v>abr</v>
      </c>
      <c r="D59" t="str">
        <f t="shared" si="2"/>
        <v>Abril</v>
      </c>
      <c r="E59">
        <f t="shared" si="3"/>
        <v>3</v>
      </c>
      <c r="F59" t="s">
        <v>489</v>
      </c>
      <c r="G59" t="s">
        <v>496</v>
      </c>
      <c r="H59" t="str">
        <f t="shared" si="4"/>
        <v/>
      </c>
      <c r="I59" t="s">
        <v>509</v>
      </c>
      <c r="J59" s="4">
        <v>198</v>
      </c>
      <c r="K59" s="4">
        <f t="shared" si="5"/>
        <v>5745</v>
      </c>
    </row>
    <row r="60" spans="1:11" x14ac:dyDescent="0.25">
      <c r="A60" t="s">
        <v>47</v>
      </c>
      <c r="B60">
        <f t="shared" si="0"/>
        <v>2023</v>
      </c>
      <c r="C60" t="str">
        <f t="shared" si="1"/>
        <v>abr</v>
      </c>
      <c r="D60" t="str">
        <f t="shared" si="2"/>
        <v>Abril</v>
      </c>
      <c r="E60">
        <f t="shared" si="3"/>
        <v>7</v>
      </c>
      <c r="F60" t="s">
        <v>489</v>
      </c>
      <c r="G60" t="s">
        <v>492</v>
      </c>
      <c r="H60" t="str">
        <f t="shared" si="4"/>
        <v/>
      </c>
      <c r="I60" t="s">
        <v>504</v>
      </c>
      <c r="J60" s="4">
        <v>2000</v>
      </c>
      <c r="K60" s="4">
        <f t="shared" si="5"/>
        <v>3745</v>
      </c>
    </row>
    <row r="61" spans="1:11" x14ac:dyDescent="0.25">
      <c r="A61" t="s">
        <v>48</v>
      </c>
      <c r="B61">
        <f t="shared" si="0"/>
        <v>2023</v>
      </c>
      <c r="C61" t="str">
        <f t="shared" si="1"/>
        <v>abr</v>
      </c>
      <c r="D61" t="str">
        <f t="shared" si="2"/>
        <v>Abril</v>
      </c>
      <c r="E61">
        <f t="shared" si="3"/>
        <v>8</v>
      </c>
      <c r="F61" t="s">
        <v>489</v>
      </c>
      <c r="G61" t="s">
        <v>497</v>
      </c>
      <c r="H61" t="str">
        <f t="shared" si="4"/>
        <v/>
      </c>
      <c r="I61" t="s">
        <v>524</v>
      </c>
      <c r="J61" s="4">
        <v>1054</v>
      </c>
      <c r="K61" s="4">
        <f t="shared" si="5"/>
        <v>2691</v>
      </c>
    </row>
    <row r="62" spans="1:11" x14ac:dyDescent="0.25">
      <c r="A62" t="s">
        <v>48</v>
      </c>
      <c r="B62">
        <f t="shared" si="0"/>
        <v>2023</v>
      </c>
      <c r="C62" t="str">
        <f t="shared" si="1"/>
        <v>abr</v>
      </c>
      <c r="D62" t="str">
        <f t="shared" si="2"/>
        <v>Abril</v>
      </c>
      <c r="E62">
        <f t="shared" si="3"/>
        <v>8</v>
      </c>
      <c r="F62" t="s">
        <v>489</v>
      </c>
      <c r="G62" t="s">
        <v>492</v>
      </c>
      <c r="H62" t="str">
        <f t="shared" si="4"/>
        <v/>
      </c>
      <c r="I62" t="s">
        <v>508</v>
      </c>
      <c r="J62" s="4">
        <v>402</v>
      </c>
      <c r="K62" s="4">
        <f t="shared" si="5"/>
        <v>2289</v>
      </c>
    </row>
    <row r="63" spans="1:11" x14ac:dyDescent="0.25">
      <c r="A63" t="s">
        <v>48</v>
      </c>
      <c r="B63">
        <f t="shared" si="0"/>
        <v>2023</v>
      </c>
      <c r="C63" t="str">
        <f t="shared" si="1"/>
        <v>abr</v>
      </c>
      <c r="D63" t="str">
        <f t="shared" si="2"/>
        <v>Abril</v>
      </c>
      <c r="E63">
        <f t="shared" si="3"/>
        <v>8</v>
      </c>
      <c r="F63" t="s">
        <v>489</v>
      </c>
      <c r="G63" t="s">
        <v>492</v>
      </c>
      <c r="H63" t="str">
        <f t="shared" si="4"/>
        <v/>
      </c>
      <c r="I63" t="s">
        <v>517</v>
      </c>
      <c r="J63" s="4">
        <v>255</v>
      </c>
      <c r="K63" s="4">
        <f t="shared" si="5"/>
        <v>2034</v>
      </c>
    </row>
    <row r="64" spans="1:11" x14ac:dyDescent="0.25">
      <c r="A64" t="s">
        <v>49</v>
      </c>
      <c r="B64">
        <f t="shared" ref="B64:B127" si="6">YEAR(A64)</f>
        <v>2023</v>
      </c>
      <c r="C64" t="str">
        <f t="shared" ref="C64:C127" si="7">TEXT(A64,"mmm")</f>
        <v>abr</v>
      </c>
      <c r="D64" t="str">
        <f t="shared" ref="D64:D127" si="8">PROPER(TEXT(A64,"Mmmm"))</f>
        <v>Abril</v>
      </c>
      <c r="E64">
        <f t="shared" si="3"/>
        <v>9</v>
      </c>
      <c r="F64" t="s">
        <v>489</v>
      </c>
      <c r="G64" t="s">
        <v>493</v>
      </c>
      <c r="H64" t="str">
        <f t="shared" si="4"/>
        <v/>
      </c>
      <c r="I64" t="s">
        <v>518</v>
      </c>
      <c r="J64" s="4">
        <v>363</v>
      </c>
      <c r="K64" s="4">
        <f t="shared" si="5"/>
        <v>1671</v>
      </c>
    </row>
    <row r="65" spans="1:11" x14ac:dyDescent="0.25">
      <c r="A65" t="s">
        <v>50</v>
      </c>
      <c r="B65">
        <f t="shared" si="6"/>
        <v>2023</v>
      </c>
      <c r="C65" t="str">
        <f t="shared" si="7"/>
        <v>abr</v>
      </c>
      <c r="D65" t="str">
        <f t="shared" si="8"/>
        <v>Abril</v>
      </c>
      <c r="E65">
        <f t="shared" si="3"/>
        <v>10</v>
      </c>
      <c r="F65" t="s">
        <v>489</v>
      </c>
      <c r="G65" t="s">
        <v>492</v>
      </c>
      <c r="H65" t="str">
        <f t="shared" si="4"/>
        <v/>
      </c>
      <c r="I65" t="s">
        <v>514</v>
      </c>
      <c r="J65" s="4">
        <v>907</v>
      </c>
      <c r="K65" s="4">
        <f t="shared" si="5"/>
        <v>764</v>
      </c>
    </row>
    <row r="66" spans="1:11" x14ac:dyDescent="0.25">
      <c r="A66" t="s">
        <v>51</v>
      </c>
      <c r="B66">
        <f t="shared" si="6"/>
        <v>2023</v>
      </c>
      <c r="C66" t="str">
        <f t="shared" si="7"/>
        <v>abr</v>
      </c>
      <c r="D66" t="str">
        <f t="shared" si="8"/>
        <v>Abril</v>
      </c>
      <c r="E66">
        <f t="shared" si="3"/>
        <v>12</v>
      </c>
      <c r="F66" t="s">
        <v>489</v>
      </c>
      <c r="G66" t="s">
        <v>493</v>
      </c>
      <c r="H66" t="str">
        <f t="shared" si="4"/>
        <v/>
      </c>
      <c r="I66" t="s">
        <v>516</v>
      </c>
      <c r="J66" s="4">
        <v>199</v>
      </c>
      <c r="K66" s="4">
        <f t="shared" si="5"/>
        <v>565</v>
      </c>
    </row>
    <row r="67" spans="1:11" x14ac:dyDescent="0.25">
      <c r="A67" t="s">
        <v>52</v>
      </c>
      <c r="B67">
        <f t="shared" si="6"/>
        <v>2023</v>
      </c>
      <c r="C67" t="str">
        <f t="shared" si="7"/>
        <v>abr</v>
      </c>
      <c r="D67" t="str">
        <f t="shared" si="8"/>
        <v>Abril</v>
      </c>
      <c r="E67">
        <f t="shared" ref="E67:E130" si="9">DAY(A67)</f>
        <v>14</v>
      </c>
      <c r="F67" t="s">
        <v>489</v>
      </c>
      <c r="G67" t="s">
        <v>498</v>
      </c>
      <c r="H67" t="str">
        <f t="shared" ref="H67:H130" si="10">IF(F67="Receita",IF(G67="Salário","Salário","Outras Receitas"),"")</f>
        <v/>
      </c>
      <c r="I67" t="s">
        <v>513</v>
      </c>
      <c r="J67" s="4">
        <v>1372</v>
      </c>
      <c r="K67" s="4">
        <f t="shared" ref="K67:K130" si="11">IF(ROW()=2,J67,IF(F67="Receita",K66+J67,K66-J67))</f>
        <v>-807</v>
      </c>
    </row>
    <row r="68" spans="1:11" x14ac:dyDescent="0.25">
      <c r="A68" t="s">
        <v>53</v>
      </c>
      <c r="B68">
        <f t="shared" si="6"/>
        <v>2023</v>
      </c>
      <c r="C68" t="str">
        <f t="shared" si="7"/>
        <v>abr</v>
      </c>
      <c r="D68" t="str">
        <f t="shared" si="8"/>
        <v>Abril</v>
      </c>
      <c r="E68">
        <f t="shared" si="9"/>
        <v>17</v>
      </c>
      <c r="F68" t="s">
        <v>488</v>
      </c>
      <c r="G68" t="s">
        <v>494</v>
      </c>
      <c r="H68" t="str">
        <f t="shared" si="10"/>
        <v>Outras Receitas</v>
      </c>
      <c r="I68" t="s">
        <v>506</v>
      </c>
      <c r="J68" s="4">
        <v>1425</v>
      </c>
      <c r="K68" s="4">
        <f t="shared" si="11"/>
        <v>618</v>
      </c>
    </row>
    <row r="69" spans="1:11" x14ac:dyDescent="0.25">
      <c r="A69" t="s">
        <v>54</v>
      </c>
      <c r="B69">
        <f t="shared" si="6"/>
        <v>2023</v>
      </c>
      <c r="C69" t="str">
        <f t="shared" si="7"/>
        <v>abr</v>
      </c>
      <c r="D69" t="str">
        <f t="shared" si="8"/>
        <v>Abril</v>
      </c>
      <c r="E69">
        <f t="shared" si="9"/>
        <v>18</v>
      </c>
      <c r="F69" t="s">
        <v>489</v>
      </c>
      <c r="G69" t="s">
        <v>497</v>
      </c>
      <c r="H69" t="str">
        <f t="shared" si="10"/>
        <v/>
      </c>
      <c r="I69" t="s">
        <v>520</v>
      </c>
      <c r="J69" s="4">
        <v>693</v>
      </c>
      <c r="K69" s="4">
        <f t="shared" si="11"/>
        <v>-75</v>
      </c>
    </row>
    <row r="70" spans="1:11" x14ac:dyDescent="0.25">
      <c r="A70" t="s">
        <v>55</v>
      </c>
      <c r="B70">
        <f t="shared" si="6"/>
        <v>2023</v>
      </c>
      <c r="C70" t="str">
        <f t="shared" si="7"/>
        <v>abr</v>
      </c>
      <c r="D70" t="str">
        <f t="shared" si="8"/>
        <v>Abril</v>
      </c>
      <c r="E70">
        <f t="shared" si="9"/>
        <v>21</v>
      </c>
      <c r="F70" t="s">
        <v>489</v>
      </c>
      <c r="G70" t="s">
        <v>492</v>
      </c>
      <c r="H70" t="str">
        <f t="shared" si="10"/>
        <v/>
      </c>
      <c r="I70" t="s">
        <v>502</v>
      </c>
      <c r="J70" s="4">
        <v>173</v>
      </c>
      <c r="K70" s="4">
        <f t="shared" si="11"/>
        <v>-248</v>
      </c>
    </row>
    <row r="71" spans="1:11" x14ac:dyDescent="0.25">
      <c r="A71" t="s">
        <v>56</v>
      </c>
      <c r="B71">
        <f t="shared" si="6"/>
        <v>2023</v>
      </c>
      <c r="C71" t="str">
        <f t="shared" si="7"/>
        <v>abr</v>
      </c>
      <c r="D71" t="str">
        <f t="shared" si="8"/>
        <v>Abril</v>
      </c>
      <c r="E71">
        <f t="shared" si="9"/>
        <v>22</v>
      </c>
      <c r="F71" t="s">
        <v>489</v>
      </c>
      <c r="G71" t="s">
        <v>498</v>
      </c>
      <c r="H71" t="str">
        <f t="shared" si="10"/>
        <v/>
      </c>
      <c r="I71" t="s">
        <v>512</v>
      </c>
      <c r="J71" s="4">
        <v>300</v>
      </c>
      <c r="K71" s="4">
        <f t="shared" si="11"/>
        <v>-548</v>
      </c>
    </row>
    <row r="72" spans="1:11" x14ac:dyDescent="0.25">
      <c r="A72" t="s">
        <v>57</v>
      </c>
      <c r="B72">
        <f t="shared" si="6"/>
        <v>2023</v>
      </c>
      <c r="C72" t="str">
        <f t="shared" si="7"/>
        <v>abr</v>
      </c>
      <c r="D72" t="str">
        <f t="shared" si="8"/>
        <v>Abril</v>
      </c>
      <c r="E72">
        <f t="shared" si="9"/>
        <v>26</v>
      </c>
      <c r="F72" t="s">
        <v>489</v>
      </c>
      <c r="G72" t="s">
        <v>492</v>
      </c>
      <c r="H72" t="str">
        <f t="shared" si="10"/>
        <v/>
      </c>
      <c r="I72" t="s">
        <v>503</v>
      </c>
      <c r="J72" s="4">
        <v>153</v>
      </c>
      <c r="K72" s="4">
        <f t="shared" si="11"/>
        <v>-701</v>
      </c>
    </row>
    <row r="73" spans="1:11" x14ac:dyDescent="0.25">
      <c r="A73" t="s">
        <v>57</v>
      </c>
      <c r="B73">
        <f t="shared" si="6"/>
        <v>2023</v>
      </c>
      <c r="C73" t="str">
        <f t="shared" si="7"/>
        <v>abr</v>
      </c>
      <c r="D73" t="str">
        <f t="shared" si="8"/>
        <v>Abril</v>
      </c>
      <c r="E73">
        <f t="shared" si="9"/>
        <v>26</v>
      </c>
      <c r="F73" t="s">
        <v>488</v>
      </c>
      <c r="G73" t="s">
        <v>495</v>
      </c>
      <c r="H73" t="str">
        <f t="shared" si="10"/>
        <v>Outras Receitas</v>
      </c>
      <c r="I73" t="s">
        <v>507</v>
      </c>
      <c r="J73" s="4">
        <v>314</v>
      </c>
      <c r="K73" s="4">
        <f t="shared" si="11"/>
        <v>-387</v>
      </c>
    </row>
    <row r="74" spans="1:11" x14ac:dyDescent="0.25">
      <c r="A74" t="s">
        <v>57</v>
      </c>
      <c r="B74">
        <f t="shared" si="6"/>
        <v>2023</v>
      </c>
      <c r="C74" t="str">
        <f t="shared" si="7"/>
        <v>abr</v>
      </c>
      <c r="D74" t="str">
        <f t="shared" si="8"/>
        <v>Abril</v>
      </c>
      <c r="E74">
        <f t="shared" si="9"/>
        <v>26</v>
      </c>
      <c r="F74" t="s">
        <v>488</v>
      </c>
      <c r="G74" t="s">
        <v>491</v>
      </c>
      <c r="H74" t="str">
        <f t="shared" si="10"/>
        <v>Outras Receitas</v>
      </c>
      <c r="I74" t="s">
        <v>501</v>
      </c>
      <c r="J74" s="4">
        <v>1690</v>
      </c>
      <c r="K74" s="4">
        <f t="shared" si="11"/>
        <v>1303</v>
      </c>
    </row>
    <row r="75" spans="1:11" x14ac:dyDescent="0.25">
      <c r="A75" t="s">
        <v>58</v>
      </c>
      <c r="B75">
        <f t="shared" si="6"/>
        <v>2023</v>
      </c>
      <c r="C75" t="str">
        <f t="shared" si="7"/>
        <v>mai</v>
      </c>
      <c r="D75" t="str">
        <f t="shared" si="8"/>
        <v>Maio</v>
      </c>
      <c r="E75">
        <f t="shared" si="9"/>
        <v>1</v>
      </c>
      <c r="F75" t="s">
        <v>488</v>
      </c>
      <c r="G75" t="s">
        <v>490</v>
      </c>
      <c r="H75" t="str">
        <f t="shared" si="10"/>
        <v>Salário</v>
      </c>
      <c r="I75" t="s">
        <v>500</v>
      </c>
      <c r="J75" s="4">
        <v>7229</v>
      </c>
      <c r="K75" s="4">
        <f t="shared" si="11"/>
        <v>8532</v>
      </c>
    </row>
    <row r="76" spans="1:11" x14ac:dyDescent="0.25">
      <c r="A76" t="s">
        <v>59</v>
      </c>
      <c r="B76">
        <f t="shared" si="6"/>
        <v>2023</v>
      </c>
      <c r="C76" t="str">
        <f t="shared" si="7"/>
        <v>mai</v>
      </c>
      <c r="D76" t="str">
        <f t="shared" si="8"/>
        <v>Maio</v>
      </c>
      <c r="E76">
        <f t="shared" si="9"/>
        <v>5</v>
      </c>
      <c r="F76" t="s">
        <v>489</v>
      </c>
      <c r="G76" t="s">
        <v>498</v>
      </c>
      <c r="H76" t="str">
        <f t="shared" si="10"/>
        <v/>
      </c>
      <c r="I76" t="s">
        <v>513</v>
      </c>
      <c r="J76" s="4">
        <v>858</v>
      </c>
      <c r="K76" s="4">
        <f t="shared" si="11"/>
        <v>7674</v>
      </c>
    </row>
    <row r="77" spans="1:11" x14ac:dyDescent="0.25">
      <c r="A77" t="s">
        <v>59</v>
      </c>
      <c r="B77">
        <f t="shared" si="6"/>
        <v>2023</v>
      </c>
      <c r="C77" t="str">
        <f t="shared" si="7"/>
        <v>mai</v>
      </c>
      <c r="D77" t="str">
        <f t="shared" si="8"/>
        <v>Maio</v>
      </c>
      <c r="E77">
        <f t="shared" si="9"/>
        <v>5</v>
      </c>
      <c r="F77" t="s">
        <v>489</v>
      </c>
      <c r="G77" t="s">
        <v>497</v>
      </c>
      <c r="H77" t="str">
        <f t="shared" si="10"/>
        <v/>
      </c>
      <c r="I77" t="s">
        <v>520</v>
      </c>
      <c r="J77" s="4">
        <v>665</v>
      </c>
      <c r="K77" s="4">
        <f t="shared" si="11"/>
        <v>7009</v>
      </c>
    </row>
    <row r="78" spans="1:11" x14ac:dyDescent="0.25">
      <c r="A78" t="s">
        <v>60</v>
      </c>
      <c r="B78">
        <f t="shared" si="6"/>
        <v>2023</v>
      </c>
      <c r="C78" t="str">
        <f t="shared" si="7"/>
        <v>mai</v>
      </c>
      <c r="D78" t="str">
        <f t="shared" si="8"/>
        <v>Maio</v>
      </c>
      <c r="E78">
        <f t="shared" si="9"/>
        <v>6</v>
      </c>
      <c r="F78" t="s">
        <v>489</v>
      </c>
      <c r="G78" t="s">
        <v>493</v>
      </c>
      <c r="H78" t="str">
        <f t="shared" si="10"/>
        <v/>
      </c>
      <c r="I78" t="s">
        <v>516</v>
      </c>
      <c r="J78" s="4">
        <v>217</v>
      </c>
      <c r="K78" s="4">
        <f t="shared" si="11"/>
        <v>6792</v>
      </c>
    </row>
    <row r="79" spans="1:11" x14ac:dyDescent="0.25">
      <c r="A79" t="s">
        <v>61</v>
      </c>
      <c r="B79">
        <f t="shared" si="6"/>
        <v>2023</v>
      </c>
      <c r="C79" t="str">
        <f t="shared" si="7"/>
        <v>mai</v>
      </c>
      <c r="D79" t="str">
        <f t="shared" si="8"/>
        <v>Maio</v>
      </c>
      <c r="E79">
        <f t="shared" si="9"/>
        <v>7</v>
      </c>
      <c r="F79" t="s">
        <v>489</v>
      </c>
      <c r="G79" t="s">
        <v>499</v>
      </c>
      <c r="H79" t="str">
        <f t="shared" si="10"/>
        <v/>
      </c>
      <c r="I79" t="s">
        <v>519</v>
      </c>
      <c r="J79" s="4">
        <v>544</v>
      </c>
      <c r="K79" s="4">
        <f t="shared" si="11"/>
        <v>6248</v>
      </c>
    </row>
    <row r="80" spans="1:11" x14ac:dyDescent="0.25">
      <c r="A80" t="s">
        <v>62</v>
      </c>
      <c r="B80">
        <f t="shared" si="6"/>
        <v>2023</v>
      </c>
      <c r="C80" t="str">
        <f t="shared" si="7"/>
        <v>mai</v>
      </c>
      <c r="D80" t="str">
        <f t="shared" si="8"/>
        <v>Maio</v>
      </c>
      <c r="E80">
        <f t="shared" si="9"/>
        <v>8</v>
      </c>
      <c r="F80" t="s">
        <v>489</v>
      </c>
      <c r="G80" t="s">
        <v>492</v>
      </c>
      <c r="H80" t="str">
        <f t="shared" si="10"/>
        <v/>
      </c>
      <c r="I80" t="s">
        <v>514</v>
      </c>
      <c r="J80" s="4">
        <v>790</v>
      </c>
      <c r="K80" s="4">
        <f t="shared" si="11"/>
        <v>5458</v>
      </c>
    </row>
    <row r="81" spans="1:11" x14ac:dyDescent="0.25">
      <c r="A81" t="s">
        <v>62</v>
      </c>
      <c r="B81">
        <f t="shared" si="6"/>
        <v>2023</v>
      </c>
      <c r="C81" t="str">
        <f t="shared" si="7"/>
        <v>mai</v>
      </c>
      <c r="D81" t="str">
        <f t="shared" si="8"/>
        <v>Maio</v>
      </c>
      <c r="E81">
        <f t="shared" si="9"/>
        <v>8</v>
      </c>
      <c r="F81" t="s">
        <v>489</v>
      </c>
      <c r="G81" t="s">
        <v>493</v>
      </c>
      <c r="H81" t="str">
        <f t="shared" si="10"/>
        <v/>
      </c>
      <c r="I81" t="s">
        <v>518</v>
      </c>
      <c r="J81" s="4">
        <v>461</v>
      </c>
      <c r="K81" s="4">
        <f t="shared" si="11"/>
        <v>4997</v>
      </c>
    </row>
    <row r="82" spans="1:11" x14ac:dyDescent="0.25">
      <c r="A82" t="s">
        <v>63</v>
      </c>
      <c r="B82">
        <f t="shared" si="6"/>
        <v>2023</v>
      </c>
      <c r="C82" t="str">
        <f t="shared" si="7"/>
        <v>mai</v>
      </c>
      <c r="D82" t="str">
        <f t="shared" si="8"/>
        <v>Maio</v>
      </c>
      <c r="E82">
        <f t="shared" si="9"/>
        <v>9</v>
      </c>
      <c r="F82" t="s">
        <v>488</v>
      </c>
      <c r="G82" t="s">
        <v>495</v>
      </c>
      <c r="H82" t="str">
        <f t="shared" si="10"/>
        <v>Outras Receitas</v>
      </c>
      <c r="I82" t="s">
        <v>507</v>
      </c>
      <c r="J82" s="4">
        <v>651</v>
      </c>
      <c r="K82" s="4">
        <f t="shared" si="11"/>
        <v>5648</v>
      </c>
    </row>
    <row r="83" spans="1:11" x14ac:dyDescent="0.25">
      <c r="A83" t="s">
        <v>64</v>
      </c>
      <c r="B83">
        <f t="shared" si="6"/>
        <v>2023</v>
      </c>
      <c r="C83" t="str">
        <f t="shared" si="7"/>
        <v>mai</v>
      </c>
      <c r="D83" t="str">
        <f t="shared" si="8"/>
        <v>Maio</v>
      </c>
      <c r="E83">
        <f t="shared" si="9"/>
        <v>15</v>
      </c>
      <c r="F83" t="s">
        <v>489</v>
      </c>
      <c r="G83" t="s">
        <v>492</v>
      </c>
      <c r="H83" t="str">
        <f t="shared" si="10"/>
        <v/>
      </c>
      <c r="I83" t="s">
        <v>504</v>
      </c>
      <c r="J83" s="4">
        <v>2000</v>
      </c>
      <c r="K83" s="4">
        <f t="shared" si="11"/>
        <v>3648</v>
      </c>
    </row>
    <row r="84" spans="1:11" x14ac:dyDescent="0.25">
      <c r="A84" t="s">
        <v>64</v>
      </c>
      <c r="B84">
        <f t="shared" si="6"/>
        <v>2023</v>
      </c>
      <c r="C84" t="str">
        <f t="shared" si="7"/>
        <v>mai</v>
      </c>
      <c r="D84" t="str">
        <f t="shared" si="8"/>
        <v>Maio</v>
      </c>
      <c r="E84">
        <f t="shared" si="9"/>
        <v>15</v>
      </c>
      <c r="F84" t="s">
        <v>489</v>
      </c>
      <c r="G84" t="s">
        <v>492</v>
      </c>
      <c r="H84" t="str">
        <f t="shared" si="10"/>
        <v/>
      </c>
      <c r="I84" t="s">
        <v>508</v>
      </c>
      <c r="J84" s="4">
        <v>303</v>
      </c>
      <c r="K84" s="4">
        <f t="shared" si="11"/>
        <v>3345</v>
      </c>
    </row>
    <row r="85" spans="1:11" x14ac:dyDescent="0.25">
      <c r="A85" t="s">
        <v>65</v>
      </c>
      <c r="B85">
        <f t="shared" si="6"/>
        <v>2023</v>
      </c>
      <c r="C85" t="str">
        <f t="shared" si="7"/>
        <v>mai</v>
      </c>
      <c r="D85" t="str">
        <f t="shared" si="8"/>
        <v>Maio</v>
      </c>
      <c r="E85">
        <f t="shared" si="9"/>
        <v>20</v>
      </c>
      <c r="F85" t="s">
        <v>488</v>
      </c>
      <c r="G85" t="s">
        <v>491</v>
      </c>
      <c r="H85" t="str">
        <f t="shared" si="10"/>
        <v>Outras Receitas</v>
      </c>
      <c r="I85" t="s">
        <v>501</v>
      </c>
      <c r="J85" s="4">
        <v>1568</v>
      </c>
      <c r="K85" s="4">
        <f t="shared" si="11"/>
        <v>4913</v>
      </c>
    </row>
    <row r="86" spans="1:11" x14ac:dyDescent="0.25">
      <c r="A86" t="s">
        <v>66</v>
      </c>
      <c r="B86">
        <f t="shared" si="6"/>
        <v>2023</v>
      </c>
      <c r="C86" t="str">
        <f t="shared" si="7"/>
        <v>mai</v>
      </c>
      <c r="D86" t="str">
        <f t="shared" si="8"/>
        <v>Maio</v>
      </c>
      <c r="E86">
        <f t="shared" si="9"/>
        <v>22</v>
      </c>
      <c r="F86" t="s">
        <v>489</v>
      </c>
      <c r="G86" t="s">
        <v>492</v>
      </c>
      <c r="H86" t="str">
        <f t="shared" si="10"/>
        <v/>
      </c>
      <c r="I86" t="s">
        <v>517</v>
      </c>
      <c r="J86" s="4">
        <v>262</v>
      </c>
      <c r="K86" s="4">
        <f t="shared" si="11"/>
        <v>4651</v>
      </c>
    </row>
    <row r="87" spans="1:11" x14ac:dyDescent="0.25">
      <c r="A87" t="s">
        <v>67</v>
      </c>
      <c r="B87">
        <f t="shared" si="6"/>
        <v>2023</v>
      </c>
      <c r="C87" t="str">
        <f t="shared" si="7"/>
        <v>mai</v>
      </c>
      <c r="D87" t="str">
        <f t="shared" si="8"/>
        <v>Maio</v>
      </c>
      <c r="E87">
        <f t="shared" si="9"/>
        <v>23</v>
      </c>
      <c r="F87" t="s">
        <v>489</v>
      </c>
      <c r="G87" t="s">
        <v>492</v>
      </c>
      <c r="H87" t="str">
        <f t="shared" si="10"/>
        <v/>
      </c>
      <c r="I87" t="s">
        <v>502</v>
      </c>
      <c r="J87" s="4">
        <v>174</v>
      </c>
      <c r="K87" s="4">
        <f t="shared" si="11"/>
        <v>4477</v>
      </c>
    </row>
    <row r="88" spans="1:11" x14ac:dyDescent="0.25">
      <c r="A88" t="s">
        <v>68</v>
      </c>
      <c r="B88">
        <f t="shared" si="6"/>
        <v>2023</v>
      </c>
      <c r="C88" t="str">
        <f t="shared" si="7"/>
        <v>mai</v>
      </c>
      <c r="D88" t="str">
        <f t="shared" si="8"/>
        <v>Maio</v>
      </c>
      <c r="E88">
        <f t="shared" si="9"/>
        <v>25</v>
      </c>
      <c r="F88" t="s">
        <v>489</v>
      </c>
      <c r="G88" t="s">
        <v>492</v>
      </c>
      <c r="H88" t="str">
        <f t="shared" si="10"/>
        <v/>
      </c>
      <c r="I88" t="s">
        <v>503</v>
      </c>
      <c r="J88" s="4">
        <v>115</v>
      </c>
      <c r="K88" s="4">
        <f t="shared" si="11"/>
        <v>4362</v>
      </c>
    </row>
    <row r="89" spans="1:11" x14ac:dyDescent="0.25">
      <c r="A89" t="s">
        <v>68</v>
      </c>
      <c r="B89">
        <f t="shared" si="6"/>
        <v>2023</v>
      </c>
      <c r="C89" t="str">
        <f t="shared" si="7"/>
        <v>mai</v>
      </c>
      <c r="D89" t="str">
        <f t="shared" si="8"/>
        <v>Maio</v>
      </c>
      <c r="E89">
        <f t="shared" si="9"/>
        <v>25</v>
      </c>
      <c r="F89" t="s">
        <v>489</v>
      </c>
      <c r="G89" t="s">
        <v>498</v>
      </c>
      <c r="H89" t="str">
        <f t="shared" si="10"/>
        <v/>
      </c>
      <c r="I89" t="s">
        <v>512</v>
      </c>
      <c r="J89" s="4">
        <v>294</v>
      </c>
      <c r="K89" s="4">
        <f t="shared" si="11"/>
        <v>4068</v>
      </c>
    </row>
    <row r="90" spans="1:11" x14ac:dyDescent="0.25">
      <c r="A90" t="s">
        <v>69</v>
      </c>
      <c r="B90">
        <f t="shared" si="6"/>
        <v>2023</v>
      </c>
      <c r="C90" t="str">
        <f t="shared" si="7"/>
        <v>mai</v>
      </c>
      <c r="D90" t="str">
        <f t="shared" si="8"/>
        <v>Maio</v>
      </c>
      <c r="E90">
        <f t="shared" si="9"/>
        <v>27</v>
      </c>
      <c r="F90" t="s">
        <v>489</v>
      </c>
      <c r="G90" t="s">
        <v>493</v>
      </c>
      <c r="H90" t="str">
        <f t="shared" si="10"/>
        <v/>
      </c>
      <c r="I90" t="s">
        <v>525</v>
      </c>
      <c r="J90" s="4">
        <v>967</v>
      </c>
      <c r="K90" s="4">
        <f t="shared" si="11"/>
        <v>3101</v>
      </c>
    </row>
    <row r="91" spans="1:11" x14ac:dyDescent="0.25">
      <c r="A91" t="s">
        <v>70</v>
      </c>
      <c r="B91">
        <f t="shared" si="6"/>
        <v>2023</v>
      </c>
      <c r="C91" t="str">
        <f t="shared" si="7"/>
        <v>jun</v>
      </c>
      <c r="D91" t="str">
        <f t="shared" si="8"/>
        <v>Junho</v>
      </c>
      <c r="E91">
        <f t="shared" si="9"/>
        <v>1</v>
      </c>
      <c r="F91" t="s">
        <v>488</v>
      </c>
      <c r="G91" t="s">
        <v>490</v>
      </c>
      <c r="H91" t="str">
        <f t="shared" si="10"/>
        <v>Salário</v>
      </c>
      <c r="I91" t="s">
        <v>500</v>
      </c>
      <c r="J91" s="4">
        <v>7241</v>
      </c>
      <c r="K91" s="4">
        <f t="shared" si="11"/>
        <v>10342</v>
      </c>
    </row>
    <row r="92" spans="1:11" x14ac:dyDescent="0.25">
      <c r="A92" t="s">
        <v>71</v>
      </c>
      <c r="B92">
        <f t="shared" si="6"/>
        <v>2023</v>
      </c>
      <c r="C92" t="str">
        <f t="shared" si="7"/>
        <v>jun</v>
      </c>
      <c r="D92" t="str">
        <f t="shared" si="8"/>
        <v>Junho</v>
      </c>
      <c r="E92">
        <f t="shared" si="9"/>
        <v>2</v>
      </c>
      <c r="F92" t="s">
        <v>488</v>
      </c>
      <c r="G92" t="s">
        <v>495</v>
      </c>
      <c r="H92" t="str">
        <f t="shared" si="10"/>
        <v>Outras Receitas</v>
      </c>
      <c r="I92" t="s">
        <v>507</v>
      </c>
      <c r="J92" s="4">
        <v>449</v>
      </c>
      <c r="K92" s="4">
        <f t="shared" si="11"/>
        <v>10791</v>
      </c>
    </row>
    <row r="93" spans="1:11" x14ac:dyDescent="0.25">
      <c r="A93" t="s">
        <v>72</v>
      </c>
      <c r="B93">
        <f t="shared" si="6"/>
        <v>2023</v>
      </c>
      <c r="C93" t="str">
        <f t="shared" si="7"/>
        <v>jun</v>
      </c>
      <c r="D93" t="str">
        <f t="shared" si="8"/>
        <v>Junho</v>
      </c>
      <c r="E93">
        <f t="shared" si="9"/>
        <v>3</v>
      </c>
      <c r="F93" t="s">
        <v>489</v>
      </c>
      <c r="G93" t="s">
        <v>498</v>
      </c>
      <c r="H93" t="str">
        <f t="shared" si="10"/>
        <v/>
      </c>
      <c r="I93" t="s">
        <v>512</v>
      </c>
      <c r="J93" s="4">
        <v>333</v>
      </c>
      <c r="K93" s="4">
        <f t="shared" si="11"/>
        <v>10458</v>
      </c>
    </row>
    <row r="94" spans="1:11" x14ac:dyDescent="0.25">
      <c r="A94" t="s">
        <v>73</v>
      </c>
      <c r="B94">
        <f t="shared" si="6"/>
        <v>2023</v>
      </c>
      <c r="C94" t="str">
        <f t="shared" si="7"/>
        <v>jun</v>
      </c>
      <c r="D94" t="str">
        <f t="shared" si="8"/>
        <v>Junho</v>
      </c>
      <c r="E94">
        <f t="shared" si="9"/>
        <v>7</v>
      </c>
      <c r="F94" t="s">
        <v>488</v>
      </c>
      <c r="G94" t="s">
        <v>491</v>
      </c>
      <c r="H94" t="str">
        <f t="shared" si="10"/>
        <v>Outras Receitas</v>
      </c>
      <c r="I94" t="s">
        <v>501</v>
      </c>
      <c r="J94" s="4">
        <v>1376</v>
      </c>
      <c r="K94" s="4">
        <f t="shared" si="11"/>
        <v>11834</v>
      </c>
    </row>
    <row r="95" spans="1:11" x14ac:dyDescent="0.25">
      <c r="A95" t="s">
        <v>74</v>
      </c>
      <c r="B95">
        <f t="shared" si="6"/>
        <v>2023</v>
      </c>
      <c r="C95" t="str">
        <f t="shared" si="7"/>
        <v>jun</v>
      </c>
      <c r="D95" t="str">
        <f t="shared" si="8"/>
        <v>Junho</v>
      </c>
      <c r="E95">
        <f t="shared" si="9"/>
        <v>11</v>
      </c>
      <c r="F95" t="s">
        <v>489</v>
      </c>
      <c r="G95" t="s">
        <v>498</v>
      </c>
      <c r="H95" t="str">
        <f t="shared" si="10"/>
        <v/>
      </c>
      <c r="I95" t="s">
        <v>513</v>
      </c>
      <c r="J95" s="4">
        <v>945</v>
      </c>
      <c r="K95" s="4">
        <f t="shared" si="11"/>
        <v>10889</v>
      </c>
    </row>
    <row r="96" spans="1:11" x14ac:dyDescent="0.25">
      <c r="A96" t="s">
        <v>75</v>
      </c>
      <c r="B96">
        <f t="shared" si="6"/>
        <v>2023</v>
      </c>
      <c r="C96" t="str">
        <f t="shared" si="7"/>
        <v>jun</v>
      </c>
      <c r="D96" t="str">
        <f t="shared" si="8"/>
        <v>Junho</v>
      </c>
      <c r="E96">
        <f t="shared" si="9"/>
        <v>12</v>
      </c>
      <c r="F96" t="s">
        <v>489</v>
      </c>
      <c r="G96" t="s">
        <v>493</v>
      </c>
      <c r="H96" t="str">
        <f t="shared" si="10"/>
        <v/>
      </c>
      <c r="I96" t="s">
        <v>518</v>
      </c>
      <c r="J96" s="4">
        <v>311</v>
      </c>
      <c r="K96" s="4">
        <f t="shared" si="11"/>
        <v>10578</v>
      </c>
    </row>
    <row r="97" spans="1:11" x14ac:dyDescent="0.25">
      <c r="A97" t="s">
        <v>76</v>
      </c>
      <c r="B97">
        <f t="shared" si="6"/>
        <v>2023</v>
      </c>
      <c r="C97" t="str">
        <f t="shared" si="7"/>
        <v>jun</v>
      </c>
      <c r="D97" t="str">
        <f t="shared" si="8"/>
        <v>Junho</v>
      </c>
      <c r="E97">
        <f t="shared" si="9"/>
        <v>15</v>
      </c>
      <c r="F97" t="s">
        <v>489</v>
      </c>
      <c r="G97" t="s">
        <v>492</v>
      </c>
      <c r="H97" t="str">
        <f t="shared" si="10"/>
        <v/>
      </c>
      <c r="I97" t="s">
        <v>502</v>
      </c>
      <c r="J97" s="4">
        <v>198</v>
      </c>
      <c r="K97" s="4">
        <f t="shared" si="11"/>
        <v>10380</v>
      </c>
    </row>
    <row r="98" spans="1:11" x14ac:dyDescent="0.25">
      <c r="A98" t="s">
        <v>77</v>
      </c>
      <c r="B98">
        <f t="shared" si="6"/>
        <v>2023</v>
      </c>
      <c r="C98" t="str">
        <f t="shared" si="7"/>
        <v>jun</v>
      </c>
      <c r="D98" t="str">
        <f t="shared" si="8"/>
        <v>Junho</v>
      </c>
      <c r="E98">
        <f t="shared" si="9"/>
        <v>17</v>
      </c>
      <c r="F98" t="s">
        <v>489</v>
      </c>
      <c r="G98" t="s">
        <v>492</v>
      </c>
      <c r="H98" t="str">
        <f t="shared" si="10"/>
        <v/>
      </c>
      <c r="I98" t="s">
        <v>517</v>
      </c>
      <c r="J98" s="4">
        <v>241</v>
      </c>
      <c r="K98" s="4">
        <f t="shared" si="11"/>
        <v>10139</v>
      </c>
    </row>
    <row r="99" spans="1:11" x14ac:dyDescent="0.25">
      <c r="A99" t="s">
        <v>78</v>
      </c>
      <c r="B99">
        <f t="shared" si="6"/>
        <v>2023</v>
      </c>
      <c r="C99" t="str">
        <f t="shared" si="7"/>
        <v>jun</v>
      </c>
      <c r="D99" t="str">
        <f t="shared" si="8"/>
        <v>Junho</v>
      </c>
      <c r="E99">
        <f t="shared" si="9"/>
        <v>19</v>
      </c>
      <c r="F99" t="s">
        <v>489</v>
      </c>
      <c r="G99" t="s">
        <v>492</v>
      </c>
      <c r="H99" t="str">
        <f t="shared" si="10"/>
        <v/>
      </c>
      <c r="I99" t="s">
        <v>503</v>
      </c>
      <c r="J99" s="4">
        <v>149</v>
      </c>
      <c r="K99" s="4">
        <f t="shared" si="11"/>
        <v>9990</v>
      </c>
    </row>
    <row r="100" spans="1:11" x14ac:dyDescent="0.25">
      <c r="A100" t="s">
        <v>78</v>
      </c>
      <c r="B100">
        <f t="shared" si="6"/>
        <v>2023</v>
      </c>
      <c r="C100" t="str">
        <f t="shared" si="7"/>
        <v>jun</v>
      </c>
      <c r="D100" t="str">
        <f t="shared" si="8"/>
        <v>Junho</v>
      </c>
      <c r="E100">
        <f t="shared" si="9"/>
        <v>19</v>
      </c>
      <c r="F100" t="s">
        <v>489</v>
      </c>
      <c r="G100" t="s">
        <v>497</v>
      </c>
      <c r="H100" t="str">
        <f t="shared" si="10"/>
        <v/>
      </c>
      <c r="I100" t="s">
        <v>520</v>
      </c>
      <c r="J100" s="4">
        <v>639</v>
      </c>
      <c r="K100" s="4">
        <f t="shared" si="11"/>
        <v>9351</v>
      </c>
    </row>
    <row r="101" spans="1:11" x14ac:dyDescent="0.25">
      <c r="A101" t="s">
        <v>79</v>
      </c>
      <c r="B101">
        <f t="shared" si="6"/>
        <v>2023</v>
      </c>
      <c r="C101" t="str">
        <f t="shared" si="7"/>
        <v>jun</v>
      </c>
      <c r="D101" t="str">
        <f t="shared" si="8"/>
        <v>Junho</v>
      </c>
      <c r="E101">
        <f t="shared" si="9"/>
        <v>20</v>
      </c>
      <c r="F101" t="s">
        <v>489</v>
      </c>
      <c r="G101" t="s">
        <v>499</v>
      </c>
      <c r="H101" t="str">
        <f t="shared" si="10"/>
        <v/>
      </c>
      <c r="I101" t="s">
        <v>526</v>
      </c>
      <c r="J101" s="4">
        <v>305</v>
      </c>
      <c r="K101" s="4">
        <f t="shared" si="11"/>
        <v>9046</v>
      </c>
    </row>
    <row r="102" spans="1:11" x14ac:dyDescent="0.25">
      <c r="A102" t="s">
        <v>79</v>
      </c>
      <c r="B102">
        <f t="shared" si="6"/>
        <v>2023</v>
      </c>
      <c r="C102" t="str">
        <f t="shared" si="7"/>
        <v>jun</v>
      </c>
      <c r="D102" t="str">
        <f t="shared" si="8"/>
        <v>Junho</v>
      </c>
      <c r="E102">
        <f t="shared" si="9"/>
        <v>20</v>
      </c>
      <c r="F102" t="s">
        <v>489</v>
      </c>
      <c r="G102" t="s">
        <v>493</v>
      </c>
      <c r="H102" t="str">
        <f t="shared" si="10"/>
        <v/>
      </c>
      <c r="I102" t="s">
        <v>516</v>
      </c>
      <c r="J102" s="4">
        <v>219</v>
      </c>
      <c r="K102" s="4">
        <f t="shared" si="11"/>
        <v>8827</v>
      </c>
    </row>
    <row r="103" spans="1:11" x14ac:dyDescent="0.25">
      <c r="A103" t="s">
        <v>80</v>
      </c>
      <c r="B103">
        <f t="shared" si="6"/>
        <v>2023</v>
      </c>
      <c r="C103" t="str">
        <f t="shared" si="7"/>
        <v>jun</v>
      </c>
      <c r="D103" t="str">
        <f t="shared" si="8"/>
        <v>Junho</v>
      </c>
      <c r="E103">
        <f t="shared" si="9"/>
        <v>21</v>
      </c>
      <c r="F103" t="s">
        <v>489</v>
      </c>
      <c r="G103" t="s">
        <v>496</v>
      </c>
      <c r="H103" t="str">
        <f t="shared" si="10"/>
        <v/>
      </c>
      <c r="I103" t="s">
        <v>509</v>
      </c>
      <c r="J103" s="4">
        <v>200</v>
      </c>
      <c r="K103" s="4">
        <f t="shared" si="11"/>
        <v>8627</v>
      </c>
    </row>
    <row r="104" spans="1:11" x14ac:dyDescent="0.25">
      <c r="A104" t="s">
        <v>81</v>
      </c>
      <c r="B104">
        <f t="shared" si="6"/>
        <v>2023</v>
      </c>
      <c r="C104" t="str">
        <f t="shared" si="7"/>
        <v>jun</v>
      </c>
      <c r="D104" t="str">
        <f t="shared" si="8"/>
        <v>Junho</v>
      </c>
      <c r="E104">
        <f t="shared" si="9"/>
        <v>23</v>
      </c>
      <c r="F104" t="s">
        <v>489</v>
      </c>
      <c r="G104" t="s">
        <v>497</v>
      </c>
      <c r="H104" t="str">
        <f t="shared" si="10"/>
        <v/>
      </c>
      <c r="I104" t="s">
        <v>511</v>
      </c>
      <c r="J104" s="4">
        <v>918</v>
      </c>
      <c r="K104" s="4">
        <f t="shared" si="11"/>
        <v>7709</v>
      </c>
    </row>
    <row r="105" spans="1:11" x14ac:dyDescent="0.25">
      <c r="A105" t="s">
        <v>82</v>
      </c>
      <c r="B105">
        <f t="shared" si="6"/>
        <v>2023</v>
      </c>
      <c r="C105" t="str">
        <f t="shared" si="7"/>
        <v>jun</v>
      </c>
      <c r="D105" t="str">
        <f t="shared" si="8"/>
        <v>Junho</v>
      </c>
      <c r="E105">
        <f t="shared" si="9"/>
        <v>25</v>
      </c>
      <c r="F105" t="s">
        <v>489</v>
      </c>
      <c r="G105" t="s">
        <v>492</v>
      </c>
      <c r="H105" t="str">
        <f t="shared" si="10"/>
        <v/>
      </c>
      <c r="I105" t="s">
        <v>508</v>
      </c>
      <c r="J105" s="4">
        <v>415</v>
      </c>
      <c r="K105" s="4">
        <f t="shared" si="11"/>
        <v>7294</v>
      </c>
    </row>
    <row r="106" spans="1:11" x14ac:dyDescent="0.25">
      <c r="A106" t="s">
        <v>83</v>
      </c>
      <c r="B106">
        <f t="shared" si="6"/>
        <v>2023</v>
      </c>
      <c r="C106" t="str">
        <f t="shared" si="7"/>
        <v>jun</v>
      </c>
      <c r="D106" t="str">
        <f t="shared" si="8"/>
        <v>Junho</v>
      </c>
      <c r="E106">
        <f t="shared" si="9"/>
        <v>27</v>
      </c>
      <c r="F106" t="s">
        <v>489</v>
      </c>
      <c r="G106" t="s">
        <v>492</v>
      </c>
      <c r="H106" t="str">
        <f t="shared" si="10"/>
        <v/>
      </c>
      <c r="I106" t="s">
        <v>504</v>
      </c>
      <c r="J106" s="4">
        <v>2000</v>
      </c>
      <c r="K106" s="4">
        <f t="shared" si="11"/>
        <v>5294</v>
      </c>
    </row>
    <row r="107" spans="1:11" x14ac:dyDescent="0.25">
      <c r="A107" t="s">
        <v>83</v>
      </c>
      <c r="B107">
        <f t="shared" si="6"/>
        <v>2023</v>
      </c>
      <c r="C107" t="str">
        <f t="shared" si="7"/>
        <v>jun</v>
      </c>
      <c r="D107" t="str">
        <f t="shared" si="8"/>
        <v>Junho</v>
      </c>
      <c r="E107">
        <f t="shared" si="9"/>
        <v>27</v>
      </c>
      <c r="F107" t="s">
        <v>489</v>
      </c>
      <c r="G107" t="s">
        <v>492</v>
      </c>
      <c r="H107" t="str">
        <f t="shared" si="10"/>
        <v/>
      </c>
      <c r="I107" t="s">
        <v>514</v>
      </c>
      <c r="J107" s="4">
        <v>888</v>
      </c>
      <c r="K107" s="4">
        <f t="shared" si="11"/>
        <v>4406</v>
      </c>
    </row>
    <row r="108" spans="1:11" x14ac:dyDescent="0.25">
      <c r="A108" t="s">
        <v>84</v>
      </c>
      <c r="B108">
        <f t="shared" si="6"/>
        <v>2023</v>
      </c>
      <c r="C108" t="str">
        <f t="shared" si="7"/>
        <v>jul</v>
      </c>
      <c r="D108" t="str">
        <f t="shared" si="8"/>
        <v>Julho</v>
      </c>
      <c r="E108">
        <f t="shared" si="9"/>
        <v>1</v>
      </c>
      <c r="F108" t="s">
        <v>488</v>
      </c>
      <c r="G108" t="s">
        <v>490</v>
      </c>
      <c r="H108" t="str">
        <f t="shared" si="10"/>
        <v>Salário</v>
      </c>
      <c r="I108" t="s">
        <v>500</v>
      </c>
      <c r="J108" s="4">
        <v>7261</v>
      </c>
      <c r="K108" s="4">
        <f t="shared" si="11"/>
        <v>11667</v>
      </c>
    </row>
    <row r="109" spans="1:11" x14ac:dyDescent="0.25">
      <c r="A109" t="s">
        <v>85</v>
      </c>
      <c r="B109">
        <f t="shared" si="6"/>
        <v>2023</v>
      </c>
      <c r="C109" t="str">
        <f t="shared" si="7"/>
        <v>jul</v>
      </c>
      <c r="D109" t="str">
        <f t="shared" si="8"/>
        <v>Julho</v>
      </c>
      <c r="E109">
        <f t="shared" si="9"/>
        <v>4</v>
      </c>
      <c r="F109" t="s">
        <v>489</v>
      </c>
      <c r="G109" t="s">
        <v>497</v>
      </c>
      <c r="H109" t="str">
        <f t="shared" si="10"/>
        <v/>
      </c>
      <c r="I109" t="s">
        <v>520</v>
      </c>
      <c r="J109" s="4">
        <v>753</v>
      </c>
      <c r="K109" s="4">
        <f t="shared" si="11"/>
        <v>10914</v>
      </c>
    </row>
    <row r="110" spans="1:11" x14ac:dyDescent="0.25">
      <c r="A110" t="s">
        <v>85</v>
      </c>
      <c r="B110">
        <f t="shared" si="6"/>
        <v>2023</v>
      </c>
      <c r="C110" t="str">
        <f t="shared" si="7"/>
        <v>jul</v>
      </c>
      <c r="D110" t="str">
        <f t="shared" si="8"/>
        <v>Julho</v>
      </c>
      <c r="E110">
        <f t="shared" si="9"/>
        <v>4</v>
      </c>
      <c r="F110" t="s">
        <v>489</v>
      </c>
      <c r="G110" t="s">
        <v>492</v>
      </c>
      <c r="H110" t="str">
        <f t="shared" si="10"/>
        <v/>
      </c>
      <c r="I110" t="s">
        <v>508</v>
      </c>
      <c r="J110" s="4">
        <v>226</v>
      </c>
      <c r="K110" s="4">
        <f t="shared" si="11"/>
        <v>10688</v>
      </c>
    </row>
    <row r="111" spans="1:11" x14ac:dyDescent="0.25">
      <c r="A111" t="s">
        <v>86</v>
      </c>
      <c r="B111">
        <f t="shared" si="6"/>
        <v>2023</v>
      </c>
      <c r="C111" t="str">
        <f t="shared" si="7"/>
        <v>jul</v>
      </c>
      <c r="D111" t="str">
        <f t="shared" si="8"/>
        <v>Julho</v>
      </c>
      <c r="E111">
        <f t="shared" si="9"/>
        <v>5</v>
      </c>
      <c r="F111" t="s">
        <v>489</v>
      </c>
      <c r="G111" t="s">
        <v>492</v>
      </c>
      <c r="H111" t="str">
        <f t="shared" si="10"/>
        <v/>
      </c>
      <c r="I111" t="s">
        <v>517</v>
      </c>
      <c r="J111" s="4">
        <v>239</v>
      </c>
      <c r="K111" s="4">
        <f t="shared" si="11"/>
        <v>10449</v>
      </c>
    </row>
    <row r="112" spans="1:11" x14ac:dyDescent="0.25">
      <c r="A112" t="s">
        <v>87</v>
      </c>
      <c r="B112">
        <f t="shared" si="6"/>
        <v>2023</v>
      </c>
      <c r="C112" t="str">
        <f t="shared" si="7"/>
        <v>jul</v>
      </c>
      <c r="D112" t="str">
        <f t="shared" si="8"/>
        <v>Julho</v>
      </c>
      <c r="E112">
        <f t="shared" si="9"/>
        <v>6</v>
      </c>
      <c r="F112" t="s">
        <v>489</v>
      </c>
      <c r="G112" t="s">
        <v>498</v>
      </c>
      <c r="H112" t="str">
        <f t="shared" si="10"/>
        <v/>
      </c>
      <c r="I112" t="s">
        <v>512</v>
      </c>
      <c r="J112" s="4">
        <v>389</v>
      </c>
      <c r="K112" s="4">
        <f t="shared" si="11"/>
        <v>10060</v>
      </c>
    </row>
    <row r="113" spans="1:11" x14ac:dyDescent="0.25">
      <c r="A113" t="s">
        <v>88</v>
      </c>
      <c r="B113">
        <f t="shared" si="6"/>
        <v>2023</v>
      </c>
      <c r="C113" t="str">
        <f t="shared" si="7"/>
        <v>jul</v>
      </c>
      <c r="D113" t="str">
        <f t="shared" si="8"/>
        <v>Julho</v>
      </c>
      <c r="E113">
        <f t="shared" si="9"/>
        <v>8</v>
      </c>
      <c r="F113" t="s">
        <v>488</v>
      </c>
      <c r="G113" t="s">
        <v>491</v>
      </c>
      <c r="H113" t="str">
        <f t="shared" si="10"/>
        <v>Outras Receitas</v>
      </c>
      <c r="I113" t="s">
        <v>501</v>
      </c>
      <c r="J113" s="4">
        <v>1971</v>
      </c>
      <c r="K113" s="4">
        <f t="shared" si="11"/>
        <v>12031</v>
      </c>
    </row>
    <row r="114" spans="1:11" x14ac:dyDescent="0.25">
      <c r="A114" t="s">
        <v>88</v>
      </c>
      <c r="B114">
        <f t="shared" si="6"/>
        <v>2023</v>
      </c>
      <c r="C114" t="str">
        <f t="shared" si="7"/>
        <v>jul</v>
      </c>
      <c r="D114" t="str">
        <f t="shared" si="8"/>
        <v>Julho</v>
      </c>
      <c r="E114">
        <f t="shared" si="9"/>
        <v>8</v>
      </c>
      <c r="F114" t="s">
        <v>489</v>
      </c>
      <c r="G114" t="s">
        <v>498</v>
      </c>
      <c r="H114" t="str">
        <f t="shared" si="10"/>
        <v/>
      </c>
      <c r="I114" t="s">
        <v>513</v>
      </c>
      <c r="J114" s="4">
        <v>1103</v>
      </c>
      <c r="K114" s="4">
        <f t="shared" si="11"/>
        <v>10928</v>
      </c>
    </row>
    <row r="115" spans="1:11" x14ac:dyDescent="0.25">
      <c r="A115" t="s">
        <v>89</v>
      </c>
      <c r="B115">
        <f t="shared" si="6"/>
        <v>2023</v>
      </c>
      <c r="C115" t="str">
        <f t="shared" si="7"/>
        <v>jul</v>
      </c>
      <c r="D115" t="str">
        <f t="shared" si="8"/>
        <v>Julho</v>
      </c>
      <c r="E115">
        <f t="shared" si="9"/>
        <v>10</v>
      </c>
      <c r="F115" t="s">
        <v>489</v>
      </c>
      <c r="G115" t="s">
        <v>497</v>
      </c>
      <c r="H115" t="str">
        <f t="shared" si="10"/>
        <v/>
      </c>
      <c r="I115" t="s">
        <v>511</v>
      </c>
      <c r="J115" s="4">
        <v>335</v>
      </c>
      <c r="K115" s="4">
        <f t="shared" si="11"/>
        <v>10593</v>
      </c>
    </row>
    <row r="116" spans="1:11" x14ac:dyDescent="0.25">
      <c r="A116" t="s">
        <v>90</v>
      </c>
      <c r="B116">
        <f t="shared" si="6"/>
        <v>2023</v>
      </c>
      <c r="C116" t="str">
        <f t="shared" si="7"/>
        <v>jul</v>
      </c>
      <c r="D116" t="str">
        <f t="shared" si="8"/>
        <v>Julho</v>
      </c>
      <c r="E116">
        <f t="shared" si="9"/>
        <v>12</v>
      </c>
      <c r="F116" t="s">
        <v>489</v>
      </c>
      <c r="G116" t="s">
        <v>492</v>
      </c>
      <c r="H116" t="str">
        <f t="shared" si="10"/>
        <v/>
      </c>
      <c r="I116" t="s">
        <v>502</v>
      </c>
      <c r="J116" s="4">
        <v>219</v>
      </c>
      <c r="K116" s="4">
        <f t="shared" si="11"/>
        <v>10374</v>
      </c>
    </row>
    <row r="117" spans="1:11" x14ac:dyDescent="0.25">
      <c r="A117" t="s">
        <v>91</v>
      </c>
      <c r="B117">
        <f t="shared" si="6"/>
        <v>2023</v>
      </c>
      <c r="C117" t="str">
        <f t="shared" si="7"/>
        <v>jul</v>
      </c>
      <c r="D117" t="str">
        <f t="shared" si="8"/>
        <v>Julho</v>
      </c>
      <c r="E117">
        <f t="shared" si="9"/>
        <v>13</v>
      </c>
      <c r="F117" t="s">
        <v>489</v>
      </c>
      <c r="G117" t="s">
        <v>493</v>
      </c>
      <c r="H117" t="str">
        <f t="shared" si="10"/>
        <v/>
      </c>
      <c r="I117" t="s">
        <v>518</v>
      </c>
      <c r="J117" s="4">
        <v>382</v>
      </c>
      <c r="K117" s="4">
        <f t="shared" si="11"/>
        <v>9992</v>
      </c>
    </row>
    <row r="118" spans="1:11" x14ac:dyDescent="0.25">
      <c r="A118" t="s">
        <v>92</v>
      </c>
      <c r="B118">
        <f t="shared" si="6"/>
        <v>2023</v>
      </c>
      <c r="C118" t="str">
        <f t="shared" si="7"/>
        <v>jul</v>
      </c>
      <c r="D118" t="str">
        <f t="shared" si="8"/>
        <v>Julho</v>
      </c>
      <c r="E118">
        <f t="shared" si="9"/>
        <v>14</v>
      </c>
      <c r="F118" t="s">
        <v>488</v>
      </c>
      <c r="G118" t="s">
        <v>494</v>
      </c>
      <c r="H118" t="str">
        <f t="shared" si="10"/>
        <v>Outras Receitas</v>
      </c>
      <c r="I118" t="s">
        <v>506</v>
      </c>
      <c r="J118" s="4">
        <v>568</v>
      </c>
      <c r="K118" s="4">
        <f t="shared" si="11"/>
        <v>10560</v>
      </c>
    </row>
    <row r="119" spans="1:11" x14ac:dyDescent="0.25">
      <c r="A119" t="s">
        <v>93</v>
      </c>
      <c r="B119">
        <f t="shared" si="6"/>
        <v>2023</v>
      </c>
      <c r="C119" t="str">
        <f t="shared" si="7"/>
        <v>jul</v>
      </c>
      <c r="D119" t="str">
        <f t="shared" si="8"/>
        <v>Julho</v>
      </c>
      <c r="E119">
        <f t="shared" si="9"/>
        <v>16</v>
      </c>
      <c r="F119" t="s">
        <v>489</v>
      </c>
      <c r="G119" t="s">
        <v>493</v>
      </c>
      <c r="H119" t="str">
        <f t="shared" si="10"/>
        <v/>
      </c>
      <c r="I119" t="s">
        <v>516</v>
      </c>
      <c r="J119" s="4">
        <v>235</v>
      </c>
      <c r="K119" s="4">
        <f t="shared" si="11"/>
        <v>10325</v>
      </c>
    </row>
    <row r="120" spans="1:11" x14ac:dyDescent="0.25">
      <c r="A120" t="s">
        <v>94</v>
      </c>
      <c r="B120">
        <f t="shared" si="6"/>
        <v>2023</v>
      </c>
      <c r="C120" t="str">
        <f t="shared" si="7"/>
        <v>jul</v>
      </c>
      <c r="D120" t="str">
        <f t="shared" si="8"/>
        <v>Julho</v>
      </c>
      <c r="E120">
        <f t="shared" si="9"/>
        <v>21</v>
      </c>
      <c r="F120" t="s">
        <v>489</v>
      </c>
      <c r="G120" t="s">
        <v>492</v>
      </c>
      <c r="H120" t="str">
        <f t="shared" si="10"/>
        <v/>
      </c>
      <c r="I120" t="s">
        <v>503</v>
      </c>
      <c r="J120" s="4">
        <v>168</v>
      </c>
      <c r="K120" s="4">
        <f t="shared" si="11"/>
        <v>10157</v>
      </c>
    </row>
    <row r="121" spans="1:11" x14ac:dyDescent="0.25">
      <c r="A121" t="s">
        <v>95</v>
      </c>
      <c r="B121">
        <f t="shared" si="6"/>
        <v>2023</v>
      </c>
      <c r="C121" t="str">
        <f t="shared" si="7"/>
        <v>jul</v>
      </c>
      <c r="D121" t="str">
        <f t="shared" si="8"/>
        <v>Julho</v>
      </c>
      <c r="E121">
        <f t="shared" si="9"/>
        <v>22</v>
      </c>
      <c r="F121" t="s">
        <v>489</v>
      </c>
      <c r="G121" t="s">
        <v>492</v>
      </c>
      <c r="H121" t="str">
        <f t="shared" si="10"/>
        <v/>
      </c>
      <c r="I121" t="s">
        <v>514</v>
      </c>
      <c r="J121" s="4">
        <v>846</v>
      </c>
      <c r="K121" s="4">
        <f t="shared" si="11"/>
        <v>9311</v>
      </c>
    </row>
    <row r="122" spans="1:11" x14ac:dyDescent="0.25">
      <c r="A122" t="s">
        <v>96</v>
      </c>
      <c r="B122">
        <f t="shared" si="6"/>
        <v>2023</v>
      </c>
      <c r="C122" t="str">
        <f t="shared" si="7"/>
        <v>jul</v>
      </c>
      <c r="D122" t="str">
        <f t="shared" si="8"/>
        <v>Julho</v>
      </c>
      <c r="E122">
        <f t="shared" si="9"/>
        <v>23</v>
      </c>
      <c r="F122" t="s">
        <v>489</v>
      </c>
      <c r="G122" t="s">
        <v>492</v>
      </c>
      <c r="H122" t="str">
        <f t="shared" si="10"/>
        <v/>
      </c>
      <c r="I122" t="s">
        <v>504</v>
      </c>
      <c r="J122" s="4">
        <v>2000</v>
      </c>
      <c r="K122" s="4">
        <f t="shared" si="11"/>
        <v>7311</v>
      </c>
    </row>
    <row r="123" spans="1:11" x14ac:dyDescent="0.25">
      <c r="A123" t="s">
        <v>96</v>
      </c>
      <c r="B123">
        <f t="shared" si="6"/>
        <v>2023</v>
      </c>
      <c r="C123" t="str">
        <f t="shared" si="7"/>
        <v>jul</v>
      </c>
      <c r="D123" t="str">
        <f t="shared" si="8"/>
        <v>Julho</v>
      </c>
      <c r="E123">
        <f t="shared" si="9"/>
        <v>23</v>
      </c>
      <c r="F123" t="s">
        <v>489</v>
      </c>
      <c r="G123" t="s">
        <v>498</v>
      </c>
      <c r="H123" t="str">
        <f t="shared" si="10"/>
        <v/>
      </c>
      <c r="I123" t="s">
        <v>527</v>
      </c>
      <c r="J123" s="4">
        <v>476</v>
      </c>
      <c r="K123" s="4">
        <f t="shared" si="11"/>
        <v>6835</v>
      </c>
    </row>
    <row r="124" spans="1:11" x14ac:dyDescent="0.25">
      <c r="A124" t="s">
        <v>97</v>
      </c>
      <c r="B124">
        <f t="shared" si="6"/>
        <v>2023</v>
      </c>
      <c r="C124" t="str">
        <f t="shared" si="7"/>
        <v>jul</v>
      </c>
      <c r="D124" t="str">
        <f t="shared" si="8"/>
        <v>Julho</v>
      </c>
      <c r="E124">
        <f t="shared" si="9"/>
        <v>24</v>
      </c>
      <c r="F124" t="s">
        <v>488</v>
      </c>
      <c r="G124" t="s">
        <v>495</v>
      </c>
      <c r="H124" t="str">
        <f t="shared" si="10"/>
        <v>Outras Receitas</v>
      </c>
      <c r="I124" t="s">
        <v>507</v>
      </c>
      <c r="J124" s="4">
        <v>410</v>
      </c>
      <c r="K124" s="4">
        <f t="shared" si="11"/>
        <v>7245</v>
      </c>
    </row>
    <row r="125" spans="1:11" x14ac:dyDescent="0.25">
      <c r="A125" t="s">
        <v>98</v>
      </c>
      <c r="B125">
        <f t="shared" si="6"/>
        <v>2023</v>
      </c>
      <c r="C125" t="str">
        <f t="shared" si="7"/>
        <v>jul</v>
      </c>
      <c r="D125" t="str">
        <f t="shared" si="8"/>
        <v>Julho</v>
      </c>
      <c r="E125">
        <f t="shared" si="9"/>
        <v>25</v>
      </c>
      <c r="F125" t="s">
        <v>489</v>
      </c>
      <c r="G125" t="s">
        <v>497</v>
      </c>
      <c r="H125" t="str">
        <f t="shared" si="10"/>
        <v/>
      </c>
      <c r="I125" t="s">
        <v>511</v>
      </c>
      <c r="J125" s="4">
        <v>279</v>
      </c>
      <c r="K125" s="4">
        <f t="shared" si="11"/>
        <v>6966</v>
      </c>
    </row>
    <row r="126" spans="1:11" x14ac:dyDescent="0.25">
      <c r="A126" t="s">
        <v>99</v>
      </c>
      <c r="B126">
        <f t="shared" si="6"/>
        <v>2023</v>
      </c>
      <c r="C126" t="str">
        <f t="shared" si="7"/>
        <v>ago</v>
      </c>
      <c r="D126" t="str">
        <f t="shared" si="8"/>
        <v>Agosto</v>
      </c>
      <c r="E126">
        <f t="shared" si="9"/>
        <v>1</v>
      </c>
      <c r="F126" t="s">
        <v>488</v>
      </c>
      <c r="G126" t="s">
        <v>490</v>
      </c>
      <c r="H126" t="str">
        <f t="shared" si="10"/>
        <v>Salário</v>
      </c>
      <c r="I126" t="s">
        <v>500</v>
      </c>
      <c r="J126" s="4">
        <v>7081</v>
      </c>
      <c r="K126" s="4">
        <f t="shared" si="11"/>
        <v>14047</v>
      </c>
    </row>
    <row r="127" spans="1:11" x14ac:dyDescent="0.25">
      <c r="A127" t="s">
        <v>100</v>
      </c>
      <c r="B127">
        <f t="shared" si="6"/>
        <v>2023</v>
      </c>
      <c r="C127" t="str">
        <f t="shared" si="7"/>
        <v>ago</v>
      </c>
      <c r="D127" t="str">
        <f t="shared" si="8"/>
        <v>Agosto</v>
      </c>
      <c r="E127">
        <f t="shared" si="9"/>
        <v>2</v>
      </c>
      <c r="F127" t="s">
        <v>489</v>
      </c>
      <c r="G127" t="s">
        <v>492</v>
      </c>
      <c r="H127" t="str">
        <f t="shared" si="10"/>
        <v/>
      </c>
      <c r="I127" t="s">
        <v>510</v>
      </c>
      <c r="J127" s="4">
        <v>904</v>
      </c>
      <c r="K127" s="4">
        <f t="shared" si="11"/>
        <v>13143</v>
      </c>
    </row>
    <row r="128" spans="1:11" x14ac:dyDescent="0.25">
      <c r="A128" t="s">
        <v>100</v>
      </c>
      <c r="B128">
        <f t="shared" ref="B128:B187" si="12">YEAR(A128)</f>
        <v>2023</v>
      </c>
      <c r="C128" t="str">
        <f t="shared" ref="C128:C187" si="13">TEXT(A128,"mmm")</f>
        <v>ago</v>
      </c>
      <c r="D128" t="str">
        <f t="shared" ref="D128:D187" si="14">PROPER(TEXT(A128,"Mmmm"))</f>
        <v>Agosto</v>
      </c>
      <c r="E128">
        <f t="shared" si="9"/>
        <v>2</v>
      </c>
      <c r="F128" t="s">
        <v>489</v>
      </c>
      <c r="G128" t="s">
        <v>492</v>
      </c>
      <c r="H128" t="str">
        <f t="shared" si="10"/>
        <v/>
      </c>
      <c r="I128" t="s">
        <v>508</v>
      </c>
      <c r="J128" s="4">
        <v>288</v>
      </c>
      <c r="K128" s="4">
        <f t="shared" si="11"/>
        <v>12855</v>
      </c>
    </row>
    <row r="129" spans="1:11" x14ac:dyDescent="0.25">
      <c r="A129" t="s">
        <v>101</v>
      </c>
      <c r="B129">
        <f t="shared" si="12"/>
        <v>2023</v>
      </c>
      <c r="C129" t="str">
        <f t="shared" si="13"/>
        <v>ago</v>
      </c>
      <c r="D129" t="str">
        <f t="shared" si="14"/>
        <v>Agosto</v>
      </c>
      <c r="E129">
        <f t="shared" si="9"/>
        <v>3</v>
      </c>
      <c r="F129" t="s">
        <v>489</v>
      </c>
      <c r="G129" t="s">
        <v>492</v>
      </c>
      <c r="H129" t="str">
        <f t="shared" si="10"/>
        <v/>
      </c>
      <c r="I129" t="s">
        <v>504</v>
      </c>
      <c r="J129" s="4">
        <v>2000</v>
      </c>
      <c r="K129" s="4">
        <f t="shared" si="11"/>
        <v>10855</v>
      </c>
    </row>
    <row r="130" spans="1:11" x14ac:dyDescent="0.25">
      <c r="A130" t="s">
        <v>101</v>
      </c>
      <c r="B130">
        <f t="shared" si="12"/>
        <v>2023</v>
      </c>
      <c r="C130" t="str">
        <f t="shared" si="13"/>
        <v>ago</v>
      </c>
      <c r="D130" t="str">
        <f t="shared" si="14"/>
        <v>Agosto</v>
      </c>
      <c r="E130">
        <f t="shared" si="9"/>
        <v>3</v>
      </c>
      <c r="F130" t="s">
        <v>489</v>
      </c>
      <c r="G130" t="s">
        <v>493</v>
      </c>
      <c r="H130" t="str">
        <f t="shared" si="10"/>
        <v/>
      </c>
      <c r="I130" t="s">
        <v>528</v>
      </c>
      <c r="J130" s="4">
        <v>321</v>
      </c>
      <c r="K130" s="4">
        <f t="shared" si="11"/>
        <v>10534</v>
      </c>
    </row>
    <row r="131" spans="1:11" x14ac:dyDescent="0.25">
      <c r="A131" t="s">
        <v>102</v>
      </c>
      <c r="B131">
        <f t="shared" si="12"/>
        <v>2023</v>
      </c>
      <c r="C131" t="str">
        <f t="shared" si="13"/>
        <v>ago</v>
      </c>
      <c r="D131" t="str">
        <f t="shared" si="14"/>
        <v>Agosto</v>
      </c>
      <c r="E131">
        <f t="shared" ref="E131:E194" si="15">DAY(A131)</f>
        <v>4</v>
      </c>
      <c r="F131" t="s">
        <v>489</v>
      </c>
      <c r="G131" t="s">
        <v>492</v>
      </c>
      <c r="H131" t="str">
        <f t="shared" ref="H131:H194" si="16">IF(F131="Receita",IF(G131="Salário","Salário","Outras Receitas"),"")</f>
        <v/>
      </c>
      <c r="I131" t="s">
        <v>514</v>
      </c>
      <c r="J131" s="4">
        <v>936</v>
      </c>
      <c r="K131" s="4">
        <f t="shared" ref="K131:K194" si="17">IF(ROW()=2,J131,IF(F131="Receita",K130+J131,K130-J131))</f>
        <v>9598</v>
      </c>
    </row>
    <row r="132" spans="1:11" x14ac:dyDescent="0.25">
      <c r="A132" t="s">
        <v>103</v>
      </c>
      <c r="B132">
        <f t="shared" si="12"/>
        <v>2023</v>
      </c>
      <c r="C132" t="str">
        <f t="shared" si="13"/>
        <v>ago</v>
      </c>
      <c r="D132" t="str">
        <f t="shared" si="14"/>
        <v>Agosto</v>
      </c>
      <c r="E132">
        <f t="shared" si="15"/>
        <v>5</v>
      </c>
      <c r="F132" t="s">
        <v>489</v>
      </c>
      <c r="G132" t="s">
        <v>497</v>
      </c>
      <c r="H132" t="str">
        <f t="shared" si="16"/>
        <v/>
      </c>
      <c r="I132" t="s">
        <v>520</v>
      </c>
      <c r="J132" s="4">
        <v>641</v>
      </c>
      <c r="K132" s="4">
        <f t="shared" si="17"/>
        <v>8957</v>
      </c>
    </row>
    <row r="133" spans="1:11" x14ac:dyDescent="0.25">
      <c r="A133" t="s">
        <v>104</v>
      </c>
      <c r="B133">
        <f t="shared" si="12"/>
        <v>2023</v>
      </c>
      <c r="C133" t="str">
        <f t="shared" si="13"/>
        <v>ago</v>
      </c>
      <c r="D133" t="str">
        <f t="shared" si="14"/>
        <v>Agosto</v>
      </c>
      <c r="E133">
        <f t="shared" si="15"/>
        <v>6</v>
      </c>
      <c r="F133" t="s">
        <v>489</v>
      </c>
      <c r="G133" t="s">
        <v>492</v>
      </c>
      <c r="H133" t="str">
        <f t="shared" si="16"/>
        <v/>
      </c>
      <c r="I133" t="s">
        <v>503</v>
      </c>
      <c r="J133" s="4">
        <v>148</v>
      </c>
      <c r="K133" s="4">
        <f t="shared" si="17"/>
        <v>8809</v>
      </c>
    </row>
    <row r="134" spans="1:11" x14ac:dyDescent="0.25">
      <c r="A134" t="s">
        <v>105</v>
      </c>
      <c r="B134">
        <f t="shared" si="12"/>
        <v>2023</v>
      </c>
      <c r="C134" t="str">
        <f t="shared" si="13"/>
        <v>ago</v>
      </c>
      <c r="D134" t="str">
        <f t="shared" si="14"/>
        <v>Agosto</v>
      </c>
      <c r="E134">
        <f t="shared" si="15"/>
        <v>10</v>
      </c>
      <c r="F134" t="s">
        <v>489</v>
      </c>
      <c r="G134" t="s">
        <v>498</v>
      </c>
      <c r="H134" t="str">
        <f t="shared" si="16"/>
        <v/>
      </c>
      <c r="I134" t="s">
        <v>527</v>
      </c>
      <c r="J134" s="4">
        <v>568</v>
      </c>
      <c r="K134" s="4">
        <f t="shared" si="17"/>
        <v>8241</v>
      </c>
    </row>
    <row r="135" spans="1:11" x14ac:dyDescent="0.25">
      <c r="A135" t="s">
        <v>105</v>
      </c>
      <c r="B135">
        <f t="shared" si="12"/>
        <v>2023</v>
      </c>
      <c r="C135" t="str">
        <f t="shared" si="13"/>
        <v>ago</v>
      </c>
      <c r="D135" t="str">
        <f t="shared" si="14"/>
        <v>Agosto</v>
      </c>
      <c r="E135">
        <f t="shared" si="15"/>
        <v>10</v>
      </c>
      <c r="F135" t="s">
        <v>488</v>
      </c>
      <c r="G135" t="s">
        <v>491</v>
      </c>
      <c r="H135" t="str">
        <f t="shared" si="16"/>
        <v>Outras Receitas</v>
      </c>
      <c r="I135" t="s">
        <v>501</v>
      </c>
      <c r="J135" s="4">
        <v>1635</v>
      </c>
      <c r="K135" s="4">
        <f t="shared" si="17"/>
        <v>9876</v>
      </c>
    </row>
    <row r="136" spans="1:11" x14ac:dyDescent="0.25">
      <c r="A136" t="s">
        <v>105</v>
      </c>
      <c r="B136">
        <f t="shared" si="12"/>
        <v>2023</v>
      </c>
      <c r="C136" t="str">
        <f t="shared" si="13"/>
        <v>ago</v>
      </c>
      <c r="D136" t="str">
        <f t="shared" si="14"/>
        <v>Agosto</v>
      </c>
      <c r="E136">
        <f t="shared" si="15"/>
        <v>10</v>
      </c>
      <c r="F136" t="s">
        <v>489</v>
      </c>
      <c r="G136" t="s">
        <v>492</v>
      </c>
      <c r="H136" t="str">
        <f t="shared" si="16"/>
        <v/>
      </c>
      <c r="I136" t="s">
        <v>517</v>
      </c>
      <c r="J136" s="4">
        <v>242</v>
      </c>
      <c r="K136" s="4">
        <f t="shared" si="17"/>
        <v>9634</v>
      </c>
    </row>
    <row r="137" spans="1:11" x14ac:dyDescent="0.25">
      <c r="A137" t="s">
        <v>106</v>
      </c>
      <c r="B137">
        <f t="shared" si="12"/>
        <v>2023</v>
      </c>
      <c r="C137" t="str">
        <f t="shared" si="13"/>
        <v>ago</v>
      </c>
      <c r="D137" t="str">
        <f t="shared" si="14"/>
        <v>Agosto</v>
      </c>
      <c r="E137">
        <f t="shared" si="15"/>
        <v>14</v>
      </c>
      <c r="F137" t="s">
        <v>489</v>
      </c>
      <c r="G137" t="s">
        <v>498</v>
      </c>
      <c r="H137" t="str">
        <f t="shared" si="16"/>
        <v/>
      </c>
      <c r="I137" t="s">
        <v>529</v>
      </c>
      <c r="J137" s="4">
        <v>281</v>
      </c>
      <c r="K137" s="4">
        <f t="shared" si="17"/>
        <v>9353</v>
      </c>
    </row>
    <row r="138" spans="1:11" x14ac:dyDescent="0.25">
      <c r="A138" t="s">
        <v>107</v>
      </c>
      <c r="B138">
        <f t="shared" si="12"/>
        <v>2023</v>
      </c>
      <c r="C138" t="str">
        <f t="shared" si="13"/>
        <v>ago</v>
      </c>
      <c r="D138" t="str">
        <f t="shared" si="14"/>
        <v>Agosto</v>
      </c>
      <c r="E138">
        <f t="shared" si="15"/>
        <v>15</v>
      </c>
      <c r="F138" t="s">
        <v>489</v>
      </c>
      <c r="G138" t="s">
        <v>498</v>
      </c>
      <c r="H138" t="str">
        <f t="shared" si="16"/>
        <v/>
      </c>
      <c r="I138" t="s">
        <v>512</v>
      </c>
      <c r="J138" s="4">
        <v>330</v>
      </c>
      <c r="K138" s="4">
        <f t="shared" si="17"/>
        <v>9023</v>
      </c>
    </row>
    <row r="139" spans="1:11" x14ac:dyDescent="0.25">
      <c r="A139" t="s">
        <v>108</v>
      </c>
      <c r="B139">
        <f t="shared" si="12"/>
        <v>2023</v>
      </c>
      <c r="C139" t="str">
        <f t="shared" si="13"/>
        <v>ago</v>
      </c>
      <c r="D139" t="str">
        <f t="shared" si="14"/>
        <v>Agosto</v>
      </c>
      <c r="E139">
        <f t="shared" si="15"/>
        <v>16</v>
      </c>
      <c r="F139" t="s">
        <v>489</v>
      </c>
      <c r="G139" t="s">
        <v>498</v>
      </c>
      <c r="H139" t="str">
        <f t="shared" si="16"/>
        <v/>
      </c>
      <c r="I139" t="s">
        <v>513</v>
      </c>
      <c r="J139" s="4">
        <v>1128</v>
      </c>
      <c r="K139" s="4">
        <f t="shared" si="17"/>
        <v>7895</v>
      </c>
    </row>
    <row r="140" spans="1:11" x14ac:dyDescent="0.25">
      <c r="A140" t="s">
        <v>109</v>
      </c>
      <c r="B140">
        <f t="shared" si="12"/>
        <v>2023</v>
      </c>
      <c r="C140" t="str">
        <f t="shared" si="13"/>
        <v>ago</v>
      </c>
      <c r="D140" t="str">
        <f t="shared" si="14"/>
        <v>Agosto</v>
      </c>
      <c r="E140">
        <f t="shared" si="15"/>
        <v>17</v>
      </c>
      <c r="F140" t="s">
        <v>488</v>
      </c>
      <c r="G140" t="s">
        <v>495</v>
      </c>
      <c r="H140" t="str">
        <f t="shared" si="16"/>
        <v>Outras Receitas</v>
      </c>
      <c r="I140" t="s">
        <v>507</v>
      </c>
      <c r="J140" s="4">
        <v>378</v>
      </c>
      <c r="K140" s="4">
        <f t="shared" si="17"/>
        <v>8273</v>
      </c>
    </row>
    <row r="141" spans="1:11" x14ac:dyDescent="0.25">
      <c r="A141" t="s">
        <v>110</v>
      </c>
      <c r="B141">
        <f t="shared" si="12"/>
        <v>2023</v>
      </c>
      <c r="C141" t="str">
        <f t="shared" si="13"/>
        <v>ago</v>
      </c>
      <c r="D141" t="str">
        <f t="shared" si="14"/>
        <v>Agosto</v>
      </c>
      <c r="E141">
        <f t="shared" si="15"/>
        <v>19</v>
      </c>
      <c r="F141" t="s">
        <v>489</v>
      </c>
      <c r="G141" t="s">
        <v>493</v>
      </c>
      <c r="H141" t="str">
        <f t="shared" si="16"/>
        <v/>
      </c>
      <c r="I141" t="s">
        <v>516</v>
      </c>
      <c r="J141" s="4">
        <v>200</v>
      </c>
      <c r="K141" s="4">
        <f t="shared" si="17"/>
        <v>8073</v>
      </c>
    </row>
    <row r="142" spans="1:11" x14ac:dyDescent="0.25">
      <c r="A142" t="s">
        <v>111</v>
      </c>
      <c r="B142">
        <f t="shared" si="12"/>
        <v>2023</v>
      </c>
      <c r="C142" t="str">
        <f t="shared" si="13"/>
        <v>ago</v>
      </c>
      <c r="D142" t="str">
        <f t="shared" si="14"/>
        <v>Agosto</v>
      </c>
      <c r="E142">
        <f t="shared" si="15"/>
        <v>21</v>
      </c>
      <c r="F142" t="s">
        <v>489</v>
      </c>
      <c r="G142" t="s">
        <v>496</v>
      </c>
      <c r="H142" t="str">
        <f t="shared" si="16"/>
        <v/>
      </c>
      <c r="I142" t="s">
        <v>530</v>
      </c>
      <c r="J142" s="4">
        <v>892</v>
      </c>
      <c r="K142" s="4">
        <f t="shared" si="17"/>
        <v>7181</v>
      </c>
    </row>
    <row r="143" spans="1:11" x14ac:dyDescent="0.25">
      <c r="A143" t="s">
        <v>112</v>
      </c>
      <c r="B143">
        <f t="shared" si="12"/>
        <v>2023</v>
      </c>
      <c r="C143" t="str">
        <f t="shared" si="13"/>
        <v>ago</v>
      </c>
      <c r="D143" t="str">
        <f t="shared" si="14"/>
        <v>Agosto</v>
      </c>
      <c r="E143">
        <f t="shared" si="15"/>
        <v>24</v>
      </c>
      <c r="F143" t="s">
        <v>489</v>
      </c>
      <c r="G143" t="s">
        <v>493</v>
      </c>
      <c r="H143" t="str">
        <f t="shared" si="16"/>
        <v/>
      </c>
      <c r="I143" t="s">
        <v>518</v>
      </c>
      <c r="J143" s="4">
        <v>577</v>
      </c>
      <c r="K143" s="4">
        <f t="shared" si="17"/>
        <v>6604</v>
      </c>
    </row>
    <row r="144" spans="1:11" x14ac:dyDescent="0.25">
      <c r="A144" t="s">
        <v>113</v>
      </c>
      <c r="B144">
        <f t="shared" si="12"/>
        <v>2023</v>
      </c>
      <c r="C144" t="str">
        <f t="shared" si="13"/>
        <v>ago</v>
      </c>
      <c r="D144" t="str">
        <f t="shared" si="14"/>
        <v>Agosto</v>
      </c>
      <c r="E144">
        <f t="shared" si="15"/>
        <v>28</v>
      </c>
      <c r="F144" t="s">
        <v>489</v>
      </c>
      <c r="G144" t="s">
        <v>492</v>
      </c>
      <c r="H144" t="str">
        <f t="shared" si="16"/>
        <v/>
      </c>
      <c r="I144" t="s">
        <v>502</v>
      </c>
      <c r="J144" s="4">
        <v>160</v>
      </c>
      <c r="K144" s="4">
        <f t="shared" si="17"/>
        <v>6444</v>
      </c>
    </row>
    <row r="145" spans="1:11" x14ac:dyDescent="0.25">
      <c r="A145" t="s">
        <v>114</v>
      </c>
      <c r="B145">
        <f t="shared" si="12"/>
        <v>2023</v>
      </c>
      <c r="C145" t="str">
        <f t="shared" si="13"/>
        <v>set</v>
      </c>
      <c r="D145" t="str">
        <f t="shared" si="14"/>
        <v>Setembro</v>
      </c>
      <c r="E145">
        <f t="shared" si="15"/>
        <v>1</v>
      </c>
      <c r="F145" t="s">
        <v>488</v>
      </c>
      <c r="G145" t="s">
        <v>490</v>
      </c>
      <c r="H145" t="str">
        <f t="shared" si="16"/>
        <v>Salário</v>
      </c>
      <c r="I145" t="s">
        <v>500</v>
      </c>
      <c r="J145" s="4">
        <v>7223</v>
      </c>
      <c r="K145" s="4">
        <f t="shared" si="17"/>
        <v>13667</v>
      </c>
    </row>
    <row r="146" spans="1:11" x14ac:dyDescent="0.25">
      <c r="A146" t="s">
        <v>115</v>
      </c>
      <c r="B146">
        <f t="shared" si="12"/>
        <v>2023</v>
      </c>
      <c r="C146" t="str">
        <f t="shared" si="13"/>
        <v>set</v>
      </c>
      <c r="D146" t="str">
        <f t="shared" si="14"/>
        <v>Setembro</v>
      </c>
      <c r="E146">
        <f t="shared" si="15"/>
        <v>2</v>
      </c>
      <c r="F146" t="s">
        <v>489</v>
      </c>
      <c r="G146" t="s">
        <v>493</v>
      </c>
      <c r="H146" t="str">
        <f t="shared" si="16"/>
        <v/>
      </c>
      <c r="I146" t="s">
        <v>518</v>
      </c>
      <c r="J146" s="4">
        <v>329</v>
      </c>
      <c r="K146" s="4">
        <f t="shared" si="17"/>
        <v>13338</v>
      </c>
    </row>
    <row r="147" spans="1:11" x14ac:dyDescent="0.25">
      <c r="A147" t="s">
        <v>116</v>
      </c>
      <c r="B147">
        <f t="shared" si="12"/>
        <v>2023</v>
      </c>
      <c r="C147" t="str">
        <f t="shared" si="13"/>
        <v>set</v>
      </c>
      <c r="D147" t="str">
        <f t="shared" si="14"/>
        <v>Setembro</v>
      </c>
      <c r="E147">
        <f t="shared" si="15"/>
        <v>4</v>
      </c>
      <c r="F147" t="s">
        <v>489</v>
      </c>
      <c r="G147" t="s">
        <v>492</v>
      </c>
      <c r="H147" t="str">
        <f t="shared" si="16"/>
        <v/>
      </c>
      <c r="I147" t="s">
        <v>517</v>
      </c>
      <c r="J147" s="4">
        <v>262</v>
      </c>
      <c r="K147" s="4">
        <f t="shared" si="17"/>
        <v>13076</v>
      </c>
    </row>
    <row r="148" spans="1:11" x14ac:dyDescent="0.25">
      <c r="A148" t="s">
        <v>117</v>
      </c>
      <c r="B148">
        <f t="shared" si="12"/>
        <v>2023</v>
      </c>
      <c r="C148" t="str">
        <f t="shared" si="13"/>
        <v>set</v>
      </c>
      <c r="D148" t="str">
        <f t="shared" si="14"/>
        <v>Setembro</v>
      </c>
      <c r="E148">
        <f t="shared" si="15"/>
        <v>8</v>
      </c>
      <c r="F148" t="s">
        <v>488</v>
      </c>
      <c r="G148" t="s">
        <v>495</v>
      </c>
      <c r="H148" t="str">
        <f t="shared" si="16"/>
        <v>Outras Receitas</v>
      </c>
      <c r="I148" t="s">
        <v>507</v>
      </c>
      <c r="J148" s="4">
        <v>668</v>
      </c>
      <c r="K148" s="4">
        <f t="shared" si="17"/>
        <v>13744</v>
      </c>
    </row>
    <row r="149" spans="1:11" x14ac:dyDescent="0.25">
      <c r="A149" t="s">
        <v>118</v>
      </c>
      <c r="B149">
        <f t="shared" si="12"/>
        <v>2023</v>
      </c>
      <c r="C149" t="str">
        <f t="shared" si="13"/>
        <v>set</v>
      </c>
      <c r="D149" t="str">
        <f t="shared" si="14"/>
        <v>Setembro</v>
      </c>
      <c r="E149">
        <f t="shared" si="15"/>
        <v>9</v>
      </c>
      <c r="F149" t="s">
        <v>489</v>
      </c>
      <c r="G149" t="s">
        <v>492</v>
      </c>
      <c r="H149" t="str">
        <f t="shared" si="16"/>
        <v/>
      </c>
      <c r="I149" t="s">
        <v>502</v>
      </c>
      <c r="J149" s="4">
        <v>155</v>
      </c>
      <c r="K149" s="4">
        <f t="shared" si="17"/>
        <v>13589</v>
      </c>
    </row>
    <row r="150" spans="1:11" x14ac:dyDescent="0.25">
      <c r="A150" t="s">
        <v>119</v>
      </c>
      <c r="B150">
        <f t="shared" si="12"/>
        <v>2023</v>
      </c>
      <c r="C150" t="str">
        <f t="shared" si="13"/>
        <v>set</v>
      </c>
      <c r="D150" t="str">
        <f t="shared" si="14"/>
        <v>Setembro</v>
      </c>
      <c r="E150">
        <f t="shared" si="15"/>
        <v>10</v>
      </c>
      <c r="F150" t="s">
        <v>489</v>
      </c>
      <c r="G150" t="s">
        <v>493</v>
      </c>
      <c r="H150" t="str">
        <f t="shared" si="16"/>
        <v/>
      </c>
      <c r="I150" t="s">
        <v>516</v>
      </c>
      <c r="J150" s="4">
        <v>206</v>
      </c>
      <c r="K150" s="4">
        <f t="shared" si="17"/>
        <v>13383</v>
      </c>
    </row>
    <row r="151" spans="1:11" x14ac:dyDescent="0.25">
      <c r="A151" t="s">
        <v>119</v>
      </c>
      <c r="B151">
        <f t="shared" si="12"/>
        <v>2023</v>
      </c>
      <c r="C151" t="str">
        <f t="shared" si="13"/>
        <v>set</v>
      </c>
      <c r="D151" t="str">
        <f t="shared" si="14"/>
        <v>Setembro</v>
      </c>
      <c r="E151">
        <f t="shared" si="15"/>
        <v>10</v>
      </c>
      <c r="F151" t="s">
        <v>489</v>
      </c>
      <c r="G151" t="s">
        <v>498</v>
      </c>
      <c r="H151" t="str">
        <f t="shared" si="16"/>
        <v/>
      </c>
      <c r="I151" t="s">
        <v>513</v>
      </c>
      <c r="J151" s="4">
        <v>1018</v>
      </c>
      <c r="K151" s="4">
        <f t="shared" si="17"/>
        <v>12365</v>
      </c>
    </row>
    <row r="152" spans="1:11" x14ac:dyDescent="0.25">
      <c r="A152" t="s">
        <v>119</v>
      </c>
      <c r="B152">
        <f t="shared" si="12"/>
        <v>2023</v>
      </c>
      <c r="C152" t="str">
        <f t="shared" si="13"/>
        <v>set</v>
      </c>
      <c r="D152" t="str">
        <f t="shared" si="14"/>
        <v>Setembro</v>
      </c>
      <c r="E152">
        <f t="shared" si="15"/>
        <v>10</v>
      </c>
      <c r="F152" t="s">
        <v>489</v>
      </c>
      <c r="G152" t="s">
        <v>499</v>
      </c>
      <c r="H152" t="str">
        <f t="shared" si="16"/>
        <v/>
      </c>
      <c r="I152" t="s">
        <v>526</v>
      </c>
      <c r="J152" s="4">
        <v>449</v>
      </c>
      <c r="K152" s="4">
        <f t="shared" si="17"/>
        <v>11916</v>
      </c>
    </row>
    <row r="153" spans="1:11" x14ac:dyDescent="0.25">
      <c r="A153" t="s">
        <v>120</v>
      </c>
      <c r="B153">
        <f t="shared" si="12"/>
        <v>2023</v>
      </c>
      <c r="C153" t="str">
        <f t="shared" si="13"/>
        <v>set</v>
      </c>
      <c r="D153" t="str">
        <f t="shared" si="14"/>
        <v>Setembro</v>
      </c>
      <c r="E153">
        <f t="shared" si="15"/>
        <v>11</v>
      </c>
      <c r="F153" t="s">
        <v>489</v>
      </c>
      <c r="G153" t="s">
        <v>492</v>
      </c>
      <c r="H153" t="str">
        <f t="shared" si="16"/>
        <v/>
      </c>
      <c r="I153" t="s">
        <v>514</v>
      </c>
      <c r="J153" s="4">
        <v>987</v>
      </c>
      <c r="K153" s="4">
        <f t="shared" si="17"/>
        <v>10929</v>
      </c>
    </row>
    <row r="154" spans="1:11" x14ac:dyDescent="0.25">
      <c r="A154" t="s">
        <v>120</v>
      </c>
      <c r="B154">
        <f t="shared" si="12"/>
        <v>2023</v>
      </c>
      <c r="C154" t="str">
        <f t="shared" si="13"/>
        <v>set</v>
      </c>
      <c r="D154" t="str">
        <f t="shared" si="14"/>
        <v>Setembro</v>
      </c>
      <c r="E154">
        <f t="shared" si="15"/>
        <v>11</v>
      </c>
      <c r="F154" t="s">
        <v>489</v>
      </c>
      <c r="G154" t="s">
        <v>492</v>
      </c>
      <c r="H154" t="str">
        <f t="shared" si="16"/>
        <v/>
      </c>
      <c r="I154" t="s">
        <v>523</v>
      </c>
      <c r="J154" s="4">
        <v>1098</v>
      </c>
      <c r="K154" s="4">
        <f t="shared" si="17"/>
        <v>9831</v>
      </c>
    </row>
    <row r="155" spans="1:11" x14ac:dyDescent="0.25">
      <c r="A155" t="s">
        <v>121</v>
      </c>
      <c r="B155">
        <f t="shared" si="12"/>
        <v>2023</v>
      </c>
      <c r="C155" t="str">
        <f t="shared" si="13"/>
        <v>set</v>
      </c>
      <c r="D155" t="str">
        <f t="shared" si="14"/>
        <v>Setembro</v>
      </c>
      <c r="E155">
        <f t="shared" si="15"/>
        <v>12</v>
      </c>
      <c r="F155" t="s">
        <v>489</v>
      </c>
      <c r="G155" t="s">
        <v>492</v>
      </c>
      <c r="H155" t="str">
        <f t="shared" si="16"/>
        <v/>
      </c>
      <c r="I155" t="s">
        <v>503</v>
      </c>
      <c r="J155" s="4">
        <v>128</v>
      </c>
      <c r="K155" s="4">
        <f t="shared" si="17"/>
        <v>9703</v>
      </c>
    </row>
    <row r="156" spans="1:11" x14ac:dyDescent="0.25">
      <c r="A156" t="s">
        <v>122</v>
      </c>
      <c r="B156">
        <f t="shared" si="12"/>
        <v>2023</v>
      </c>
      <c r="C156" t="str">
        <f t="shared" si="13"/>
        <v>set</v>
      </c>
      <c r="D156" t="str">
        <f t="shared" si="14"/>
        <v>Setembro</v>
      </c>
      <c r="E156">
        <f t="shared" si="15"/>
        <v>13</v>
      </c>
      <c r="F156" t="s">
        <v>489</v>
      </c>
      <c r="G156" t="s">
        <v>492</v>
      </c>
      <c r="H156" t="str">
        <f t="shared" si="16"/>
        <v/>
      </c>
      <c r="I156" t="s">
        <v>504</v>
      </c>
      <c r="J156" s="4">
        <v>2000</v>
      </c>
      <c r="K156" s="4">
        <f t="shared" si="17"/>
        <v>7703</v>
      </c>
    </row>
    <row r="157" spans="1:11" x14ac:dyDescent="0.25">
      <c r="A157" t="s">
        <v>123</v>
      </c>
      <c r="B157">
        <f t="shared" si="12"/>
        <v>2023</v>
      </c>
      <c r="C157" t="str">
        <f t="shared" si="13"/>
        <v>set</v>
      </c>
      <c r="D157" t="str">
        <f t="shared" si="14"/>
        <v>Setembro</v>
      </c>
      <c r="E157">
        <f t="shared" si="15"/>
        <v>15</v>
      </c>
      <c r="F157" t="s">
        <v>489</v>
      </c>
      <c r="G157" t="s">
        <v>497</v>
      </c>
      <c r="H157" t="str">
        <f t="shared" si="16"/>
        <v/>
      </c>
      <c r="I157" t="s">
        <v>511</v>
      </c>
      <c r="J157" s="4">
        <v>805</v>
      </c>
      <c r="K157" s="4">
        <f t="shared" si="17"/>
        <v>6898</v>
      </c>
    </row>
    <row r="158" spans="1:11" x14ac:dyDescent="0.25">
      <c r="A158" t="s">
        <v>124</v>
      </c>
      <c r="B158">
        <f t="shared" si="12"/>
        <v>2023</v>
      </c>
      <c r="C158" t="str">
        <f t="shared" si="13"/>
        <v>set</v>
      </c>
      <c r="D158" t="str">
        <f t="shared" si="14"/>
        <v>Setembro</v>
      </c>
      <c r="E158">
        <f t="shared" si="15"/>
        <v>17</v>
      </c>
      <c r="F158" t="s">
        <v>488</v>
      </c>
      <c r="G158" t="s">
        <v>491</v>
      </c>
      <c r="H158" t="str">
        <f t="shared" si="16"/>
        <v>Outras Receitas</v>
      </c>
      <c r="I158" t="s">
        <v>501</v>
      </c>
      <c r="J158" s="4">
        <v>1055</v>
      </c>
      <c r="K158" s="4">
        <f t="shared" si="17"/>
        <v>7953</v>
      </c>
    </row>
    <row r="159" spans="1:11" x14ac:dyDescent="0.25">
      <c r="A159" t="s">
        <v>125</v>
      </c>
      <c r="B159">
        <f t="shared" si="12"/>
        <v>2023</v>
      </c>
      <c r="C159" t="str">
        <f t="shared" si="13"/>
        <v>set</v>
      </c>
      <c r="D159" t="str">
        <f t="shared" si="14"/>
        <v>Setembro</v>
      </c>
      <c r="E159">
        <f t="shared" si="15"/>
        <v>18</v>
      </c>
      <c r="F159" t="s">
        <v>489</v>
      </c>
      <c r="G159" t="s">
        <v>498</v>
      </c>
      <c r="H159" t="str">
        <f t="shared" si="16"/>
        <v/>
      </c>
      <c r="I159" t="s">
        <v>512</v>
      </c>
      <c r="J159" s="4">
        <v>304</v>
      </c>
      <c r="K159" s="4">
        <f t="shared" si="17"/>
        <v>7649</v>
      </c>
    </row>
    <row r="160" spans="1:11" x14ac:dyDescent="0.25">
      <c r="A160" t="s">
        <v>126</v>
      </c>
      <c r="B160">
        <f t="shared" si="12"/>
        <v>2023</v>
      </c>
      <c r="C160" t="str">
        <f t="shared" si="13"/>
        <v>set</v>
      </c>
      <c r="D160" t="str">
        <f t="shared" si="14"/>
        <v>Setembro</v>
      </c>
      <c r="E160">
        <f t="shared" si="15"/>
        <v>23</v>
      </c>
      <c r="F160" t="s">
        <v>489</v>
      </c>
      <c r="G160" t="s">
        <v>492</v>
      </c>
      <c r="H160" t="str">
        <f t="shared" si="16"/>
        <v/>
      </c>
      <c r="I160" t="s">
        <v>508</v>
      </c>
      <c r="J160" s="4">
        <v>261</v>
      </c>
      <c r="K160" s="4">
        <f t="shared" si="17"/>
        <v>7388</v>
      </c>
    </row>
    <row r="161" spans="1:11" x14ac:dyDescent="0.25">
      <c r="A161" t="s">
        <v>127</v>
      </c>
      <c r="B161">
        <f t="shared" si="12"/>
        <v>2023</v>
      </c>
      <c r="C161" t="str">
        <f t="shared" si="13"/>
        <v>set</v>
      </c>
      <c r="D161" t="str">
        <f t="shared" si="14"/>
        <v>Setembro</v>
      </c>
      <c r="E161">
        <f t="shared" si="15"/>
        <v>25</v>
      </c>
      <c r="F161" t="s">
        <v>489</v>
      </c>
      <c r="G161" t="s">
        <v>492</v>
      </c>
      <c r="H161" t="str">
        <f t="shared" si="16"/>
        <v/>
      </c>
      <c r="I161" t="s">
        <v>523</v>
      </c>
      <c r="J161" s="4">
        <v>315</v>
      </c>
      <c r="K161" s="4">
        <f t="shared" si="17"/>
        <v>7073</v>
      </c>
    </row>
    <row r="162" spans="1:11" x14ac:dyDescent="0.25">
      <c r="A162" t="s">
        <v>128</v>
      </c>
      <c r="B162">
        <f t="shared" si="12"/>
        <v>2023</v>
      </c>
      <c r="C162" t="str">
        <f t="shared" si="13"/>
        <v>set</v>
      </c>
      <c r="D162" t="str">
        <f t="shared" si="14"/>
        <v>Setembro</v>
      </c>
      <c r="E162">
        <f t="shared" si="15"/>
        <v>27</v>
      </c>
      <c r="F162" t="s">
        <v>489</v>
      </c>
      <c r="G162" t="s">
        <v>497</v>
      </c>
      <c r="H162" t="str">
        <f t="shared" si="16"/>
        <v/>
      </c>
      <c r="I162" t="s">
        <v>511</v>
      </c>
      <c r="J162" s="4">
        <v>1124</v>
      </c>
      <c r="K162" s="4">
        <f t="shared" si="17"/>
        <v>5949</v>
      </c>
    </row>
    <row r="163" spans="1:11" x14ac:dyDescent="0.25">
      <c r="A163" t="s">
        <v>129</v>
      </c>
      <c r="B163">
        <f t="shared" si="12"/>
        <v>2023</v>
      </c>
      <c r="C163" t="str">
        <f t="shared" si="13"/>
        <v>set</v>
      </c>
      <c r="D163" t="str">
        <f t="shared" si="14"/>
        <v>Setembro</v>
      </c>
      <c r="E163">
        <f t="shared" si="15"/>
        <v>28</v>
      </c>
      <c r="F163" t="s">
        <v>489</v>
      </c>
      <c r="G163" t="s">
        <v>497</v>
      </c>
      <c r="H163" t="str">
        <f t="shared" si="16"/>
        <v/>
      </c>
      <c r="I163" t="s">
        <v>520</v>
      </c>
      <c r="J163" s="4">
        <v>705</v>
      </c>
      <c r="K163" s="4">
        <f t="shared" si="17"/>
        <v>5244</v>
      </c>
    </row>
    <row r="164" spans="1:11" x14ac:dyDescent="0.25">
      <c r="A164" t="s">
        <v>130</v>
      </c>
      <c r="B164">
        <f t="shared" si="12"/>
        <v>2023</v>
      </c>
      <c r="C164" t="str">
        <f t="shared" si="13"/>
        <v>out</v>
      </c>
      <c r="D164" t="str">
        <f t="shared" si="14"/>
        <v>Outubro</v>
      </c>
      <c r="E164">
        <f t="shared" si="15"/>
        <v>1</v>
      </c>
      <c r="F164" t="s">
        <v>488</v>
      </c>
      <c r="G164" t="s">
        <v>490</v>
      </c>
      <c r="H164" t="str">
        <f t="shared" si="16"/>
        <v>Salário</v>
      </c>
      <c r="I164" t="s">
        <v>500</v>
      </c>
      <c r="J164" s="4">
        <v>6896</v>
      </c>
      <c r="K164" s="4">
        <f t="shared" si="17"/>
        <v>12140</v>
      </c>
    </row>
    <row r="165" spans="1:11" x14ac:dyDescent="0.25">
      <c r="A165" t="s">
        <v>131</v>
      </c>
      <c r="B165">
        <f t="shared" si="12"/>
        <v>2023</v>
      </c>
      <c r="C165" t="str">
        <f t="shared" si="13"/>
        <v>out</v>
      </c>
      <c r="D165" t="str">
        <f t="shared" si="14"/>
        <v>Outubro</v>
      </c>
      <c r="E165">
        <f t="shared" si="15"/>
        <v>2</v>
      </c>
      <c r="F165" t="s">
        <v>489</v>
      </c>
      <c r="G165" t="s">
        <v>492</v>
      </c>
      <c r="H165" t="str">
        <f t="shared" si="16"/>
        <v/>
      </c>
      <c r="I165" t="s">
        <v>503</v>
      </c>
      <c r="J165" s="4">
        <v>129</v>
      </c>
      <c r="K165" s="4">
        <f t="shared" si="17"/>
        <v>12011</v>
      </c>
    </row>
    <row r="166" spans="1:11" x14ac:dyDescent="0.25">
      <c r="A166" t="s">
        <v>132</v>
      </c>
      <c r="B166">
        <f t="shared" si="12"/>
        <v>2023</v>
      </c>
      <c r="C166" t="str">
        <f t="shared" si="13"/>
        <v>out</v>
      </c>
      <c r="D166" t="str">
        <f t="shared" si="14"/>
        <v>Outubro</v>
      </c>
      <c r="E166">
        <f t="shared" si="15"/>
        <v>8</v>
      </c>
      <c r="F166" t="s">
        <v>489</v>
      </c>
      <c r="G166" t="s">
        <v>492</v>
      </c>
      <c r="H166" t="str">
        <f t="shared" si="16"/>
        <v/>
      </c>
      <c r="I166" t="s">
        <v>517</v>
      </c>
      <c r="J166" s="4">
        <v>248</v>
      </c>
      <c r="K166" s="4">
        <f t="shared" si="17"/>
        <v>11763</v>
      </c>
    </row>
    <row r="167" spans="1:11" x14ac:dyDescent="0.25">
      <c r="A167" t="s">
        <v>133</v>
      </c>
      <c r="B167">
        <f t="shared" si="12"/>
        <v>2023</v>
      </c>
      <c r="C167" t="str">
        <f t="shared" si="13"/>
        <v>out</v>
      </c>
      <c r="D167" t="str">
        <f t="shared" si="14"/>
        <v>Outubro</v>
      </c>
      <c r="E167">
        <f t="shared" si="15"/>
        <v>12</v>
      </c>
      <c r="F167" t="s">
        <v>489</v>
      </c>
      <c r="G167" t="s">
        <v>498</v>
      </c>
      <c r="H167" t="str">
        <f t="shared" si="16"/>
        <v/>
      </c>
      <c r="I167" t="s">
        <v>512</v>
      </c>
      <c r="J167" s="4">
        <v>314</v>
      </c>
      <c r="K167" s="4">
        <f t="shared" si="17"/>
        <v>11449</v>
      </c>
    </row>
    <row r="168" spans="1:11" x14ac:dyDescent="0.25">
      <c r="A168" t="s">
        <v>134</v>
      </c>
      <c r="B168">
        <f t="shared" si="12"/>
        <v>2023</v>
      </c>
      <c r="C168" t="str">
        <f t="shared" si="13"/>
        <v>out</v>
      </c>
      <c r="D168" t="str">
        <f t="shared" si="14"/>
        <v>Outubro</v>
      </c>
      <c r="E168">
        <f t="shared" si="15"/>
        <v>14</v>
      </c>
      <c r="F168" t="s">
        <v>489</v>
      </c>
      <c r="G168" t="s">
        <v>492</v>
      </c>
      <c r="H168" t="str">
        <f t="shared" si="16"/>
        <v/>
      </c>
      <c r="I168" t="s">
        <v>508</v>
      </c>
      <c r="J168" s="4">
        <v>329</v>
      </c>
      <c r="K168" s="4">
        <f t="shared" si="17"/>
        <v>11120</v>
      </c>
    </row>
    <row r="169" spans="1:11" x14ac:dyDescent="0.25">
      <c r="A169" t="s">
        <v>135</v>
      </c>
      <c r="B169">
        <f t="shared" si="12"/>
        <v>2023</v>
      </c>
      <c r="C169" t="str">
        <f t="shared" si="13"/>
        <v>out</v>
      </c>
      <c r="D169" t="str">
        <f t="shared" si="14"/>
        <v>Outubro</v>
      </c>
      <c r="E169">
        <f t="shared" si="15"/>
        <v>16</v>
      </c>
      <c r="F169" t="s">
        <v>489</v>
      </c>
      <c r="G169" t="s">
        <v>497</v>
      </c>
      <c r="H169" t="str">
        <f t="shared" si="16"/>
        <v/>
      </c>
      <c r="I169" t="s">
        <v>520</v>
      </c>
      <c r="J169" s="4">
        <v>725</v>
      </c>
      <c r="K169" s="4">
        <f t="shared" si="17"/>
        <v>10395</v>
      </c>
    </row>
    <row r="170" spans="1:11" x14ac:dyDescent="0.25">
      <c r="A170" t="s">
        <v>136</v>
      </c>
      <c r="B170">
        <f t="shared" si="12"/>
        <v>2023</v>
      </c>
      <c r="C170" t="str">
        <f t="shared" si="13"/>
        <v>out</v>
      </c>
      <c r="D170" t="str">
        <f t="shared" si="14"/>
        <v>Outubro</v>
      </c>
      <c r="E170">
        <f t="shared" si="15"/>
        <v>17</v>
      </c>
      <c r="F170" t="s">
        <v>489</v>
      </c>
      <c r="G170" t="s">
        <v>496</v>
      </c>
      <c r="H170" t="str">
        <f t="shared" si="16"/>
        <v/>
      </c>
      <c r="I170" t="s">
        <v>509</v>
      </c>
      <c r="J170" s="4">
        <v>561</v>
      </c>
      <c r="K170" s="4">
        <f t="shared" si="17"/>
        <v>9834</v>
      </c>
    </row>
    <row r="171" spans="1:11" x14ac:dyDescent="0.25">
      <c r="A171" t="s">
        <v>137</v>
      </c>
      <c r="B171">
        <f t="shared" si="12"/>
        <v>2023</v>
      </c>
      <c r="C171" t="str">
        <f t="shared" si="13"/>
        <v>out</v>
      </c>
      <c r="D171" t="str">
        <f t="shared" si="14"/>
        <v>Outubro</v>
      </c>
      <c r="E171">
        <f t="shared" si="15"/>
        <v>18</v>
      </c>
      <c r="F171" t="s">
        <v>489</v>
      </c>
      <c r="G171" t="s">
        <v>493</v>
      </c>
      <c r="H171" t="str">
        <f t="shared" si="16"/>
        <v/>
      </c>
      <c r="I171" t="s">
        <v>518</v>
      </c>
      <c r="J171" s="4">
        <v>442</v>
      </c>
      <c r="K171" s="4">
        <f t="shared" si="17"/>
        <v>9392</v>
      </c>
    </row>
    <row r="172" spans="1:11" x14ac:dyDescent="0.25">
      <c r="A172" t="s">
        <v>138</v>
      </c>
      <c r="B172">
        <f t="shared" si="12"/>
        <v>2023</v>
      </c>
      <c r="C172" t="str">
        <f t="shared" si="13"/>
        <v>out</v>
      </c>
      <c r="D172" t="str">
        <f t="shared" si="14"/>
        <v>Outubro</v>
      </c>
      <c r="E172">
        <f t="shared" si="15"/>
        <v>19</v>
      </c>
      <c r="F172" t="s">
        <v>488</v>
      </c>
      <c r="G172" t="s">
        <v>495</v>
      </c>
      <c r="H172" t="str">
        <f t="shared" si="16"/>
        <v>Outras Receitas</v>
      </c>
      <c r="I172" t="s">
        <v>507</v>
      </c>
      <c r="J172" s="4">
        <v>315</v>
      </c>
      <c r="K172" s="4">
        <f t="shared" si="17"/>
        <v>9707</v>
      </c>
    </row>
    <row r="173" spans="1:11" x14ac:dyDescent="0.25">
      <c r="A173" t="s">
        <v>139</v>
      </c>
      <c r="B173">
        <f t="shared" si="12"/>
        <v>2023</v>
      </c>
      <c r="C173" t="str">
        <f t="shared" si="13"/>
        <v>out</v>
      </c>
      <c r="D173" t="str">
        <f t="shared" si="14"/>
        <v>Outubro</v>
      </c>
      <c r="E173">
        <f t="shared" si="15"/>
        <v>20</v>
      </c>
      <c r="F173" t="s">
        <v>489</v>
      </c>
      <c r="G173" t="s">
        <v>498</v>
      </c>
      <c r="H173" t="str">
        <f t="shared" si="16"/>
        <v/>
      </c>
      <c r="I173" t="s">
        <v>513</v>
      </c>
      <c r="J173" s="4">
        <v>1159</v>
      </c>
      <c r="K173" s="4">
        <f t="shared" si="17"/>
        <v>8548</v>
      </c>
    </row>
    <row r="174" spans="1:11" x14ac:dyDescent="0.25">
      <c r="A174" t="s">
        <v>140</v>
      </c>
      <c r="B174">
        <f t="shared" si="12"/>
        <v>2023</v>
      </c>
      <c r="C174" t="str">
        <f t="shared" si="13"/>
        <v>out</v>
      </c>
      <c r="D174" t="str">
        <f t="shared" si="14"/>
        <v>Outubro</v>
      </c>
      <c r="E174">
        <f t="shared" si="15"/>
        <v>21</v>
      </c>
      <c r="F174" t="s">
        <v>489</v>
      </c>
      <c r="G174" t="s">
        <v>492</v>
      </c>
      <c r="H174" t="str">
        <f t="shared" si="16"/>
        <v/>
      </c>
      <c r="I174" t="s">
        <v>502</v>
      </c>
      <c r="J174" s="4">
        <v>186</v>
      </c>
      <c r="K174" s="4">
        <f t="shared" si="17"/>
        <v>8362</v>
      </c>
    </row>
    <row r="175" spans="1:11" x14ac:dyDescent="0.25">
      <c r="A175" t="s">
        <v>141</v>
      </c>
      <c r="B175">
        <f t="shared" si="12"/>
        <v>2023</v>
      </c>
      <c r="C175" t="str">
        <f t="shared" si="13"/>
        <v>out</v>
      </c>
      <c r="D175" t="str">
        <f t="shared" si="14"/>
        <v>Outubro</v>
      </c>
      <c r="E175">
        <f t="shared" si="15"/>
        <v>23</v>
      </c>
      <c r="F175" t="s">
        <v>488</v>
      </c>
      <c r="G175" t="s">
        <v>494</v>
      </c>
      <c r="H175" t="str">
        <f t="shared" si="16"/>
        <v>Outras Receitas</v>
      </c>
      <c r="I175" t="s">
        <v>506</v>
      </c>
      <c r="J175" s="4">
        <v>1076</v>
      </c>
      <c r="K175" s="4">
        <f t="shared" si="17"/>
        <v>9438</v>
      </c>
    </row>
    <row r="176" spans="1:11" x14ac:dyDescent="0.25">
      <c r="A176" t="s">
        <v>141</v>
      </c>
      <c r="B176">
        <f t="shared" si="12"/>
        <v>2023</v>
      </c>
      <c r="C176" t="str">
        <f t="shared" si="13"/>
        <v>out</v>
      </c>
      <c r="D176" t="str">
        <f t="shared" si="14"/>
        <v>Outubro</v>
      </c>
      <c r="E176">
        <f t="shared" si="15"/>
        <v>23</v>
      </c>
      <c r="F176" t="s">
        <v>489</v>
      </c>
      <c r="G176" t="s">
        <v>492</v>
      </c>
      <c r="H176" t="str">
        <f t="shared" si="16"/>
        <v/>
      </c>
      <c r="I176" t="s">
        <v>504</v>
      </c>
      <c r="J176" s="4">
        <v>2000</v>
      </c>
      <c r="K176" s="4">
        <f t="shared" si="17"/>
        <v>7438</v>
      </c>
    </row>
    <row r="177" spans="1:11" x14ac:dyDescent="0.25">
      <c r="A177" t="s">
        <v>142</v>
      </c>
      <c r="B177">
        <f t="shared" si="12"/>
        <v>2023</v>
      </c>
      <c r="C177" t="str">
        <f t="shared" si="13"/>
        <v>out</v>
      </c>
      <c r="D177" t="str">
        <f t="shared" si="14"/>
        <v>Outubro</v>
      </c>
      <c r="E177">
        <f t="shared" si="15"/>
        <v>24</v>
      </c>
      <c r="F177" t="s">
        <v>488</v>
      </c>
      <c r="G177" t="s">
        <v>491</v>
      </c>
      <c r="H177" t="str">
        <f t="shared" si="16"/>
        <v>Outras Receitas</v>
      </c>
      <c r="I177" t="s">
        <v>501</v>
      </c>
      <c r="J177" s="4">
        <v>1205</v>
      </c>
      <c r="K177" s="4">
        <f t="shared" si="17"/>
        <v>8643</v>
      </c>
    </row>
    <row r="178" spans="1:11" x14ac:dyDescent="0.25">
      <c r="A178" t="s">
        <v>143</v>
      </c>
      <c r="B178">
        <f t="shared" si="12"/>
        <v>2023</v>
      </c>
      <c r="C178" t="str">
        <f t="shared" si="13"/>
        <v>out</v>
      </c>
      <c r="D178" t="str">
        <f t="shared" si="14"/>
        <v>Outubro</v>
      </c>
      <c r="E178">
        <f t="shared" si="15"/>
        <v>25</v>
      </c>
      <c r="F178" t="s">
        <v>489</v>
      </c>
      <c r="G178" t="s">
        <v>492</v>
      </c>
      <c r="H178" t="str">
        <f t="shared" si="16"/>
        <v/>
      </c>
      <c r="I178" t="s">
        <v>514</v>
      </c>
      <c r="J178" s="4">
        <v>1009</v>
      </c>
      <c r="K178" s="4">
        <f t="shared" si="17"/>
        <v>7634</v>
      </c>
    </row>
    <row r="179" spans="1:11" x14ac:dyDescent="0.25">
      <c r="A179" t="s">
        <v>144</v>
      </c>
      <c r="B179">
        <f t="shared" si="12"/>
        <v>2023</v>
      </c>
      <c r="C179" t="str">
        <f t="shared" si="13"/>
        <v>out</v>
      </c>
      <c r="D179" t="str">
        <f t="shared" si="14"/>
        <v>Outubro</v>
      </c>
      <c r="E179">
        <f t="shared" si="15"/>
        <v>27</v>
      </c>
      <c r="F179" t="s">
        <v>489</v>
      </c>
      <c r="G179" t="s">
        <v>493</v>
      </c>
      <c r="H179" t="str">
        <f t="shared" si="16"/>
        <v/>
      </c>
      <c r="I179" t="s">
        <v>516</v>
      </c>
      <c r="J179" s="4">
        <v>230</v>
      </c>
      <c r="K179" s="4">
        <f t="shared" si="17"/>
        <v>7404</v>
      </c>
    </row>
    <row r="180" spans="1:11" x14ac:dyDescent="0.25">
      <c r="A180" t="s">
        <v>145</v>
      </c>
      <c r="B180">
        <f t="shared" si="12"/>
        <v>2023</v>
      </c>
      <c r="C180" t="str">
        <f t="shared" si="13"/>
        <v>nov</v>
      </c>
      <c r="D180" t="str">
        <f t="shared" si="14"/>
        <v>Novembro</v>
      </c>
      <c r="E180">
        <f t="shared" si="15"/>
        <v>1</v>
      </c>
      <c r="F180" t="s">
        <v>488</v>
      </c>
      <c r="G180" t="s">
        <v>490</v>
      </c>
      <c r="H180" t="str">
        <f t="shared" si="16"/>
        <v>Salário</v>
      </c>
      <c r="I180" t="s">
        <v>500</v>
      </c>
      <c r="J180" s="4">
        <v>7045</v>
      </c>
      <c r="K180" s="4">
        <f t="shared" si="17"/>
        <v>14449</v>
      </c>
    </row>
    <row r="181" spans="1:11" x14ac:dyDescent="0.25">
      <c r="A181" t="s">
        <v>146</v>
      </c>
      <c r="B181">
        <f t="shared" si="12"/>
        <v>2023</v>
      </c>
      <c r="C181" t="str">
        <f t="shared" si="13"/>
        <v>nov</v>
      </c>
      <c r="D181" t="str">
        <f t="shared" si="14"/>
        <v>Novembro</v>
      </c>
      <c r="E181">
        <f t="shared" si="15"/>
        <v>3</v>
      </c>
      <c r="F181" t="s">
        <v>489</v>
      </c>
      <c r="G181" t="s">
        <v>492</v>
      </c>
      <c r="H181" t="str">
        <f t="shared" si="16"/>
        <v/>
      </c>
      <c r="I181" t="s">
        <v>517</v>
      </c>
      <c r="J181" s="4">
        <v>251</v>
      </c>
      <c r="K181" s="4">
        <f t="shared" si="17"/>
        <v>14198</v>
      </c>
    </row>
    <row r="182" spans="1:11" x14ac:dyDescent="0.25">
      <c r="A182" t="s">
        <v>147</v>
      </c>
      <c r="B182">
        <f t="shared" si="12"/>
        <v>2023</v>
      </c>
      <c r="C182" t="str">
        <f t="shared" si="13"/>
        <v>nov</v>
      </c>
      <c r="D182" t="str">
        <f t="shared" si="14"/>
        <v>Novembro</v>
      </c>
      <c r="E182">
        <f t="shared" si="15"/>
        <v>5</v>
      </c>
      <c r="F182" t="s">
        <v>489</v>
      </c>
      <c r="G182" t="s">
        <v>498</v>
      </c>
      <c r="H182" t="str">
        <f t="shared" si="16"/>
        <v/>
      </c>
      <c r="I182" t="s">
        <v>513</v>
      </c>
      <c r="J182" s="4">
        <v>1076</v>
      </c>
      <c r="K182" s="4">
        <f t="shared" si="17"/>
        <v>13122</v>
      </c>
    </row>
    <row r="183" spans="1:11" x14ac:dyDescent="0.25">
      <c r="A183" t="s">
        <v>148</v>
      </c>
      <c r="B183">
        <f t="shared" si="12"/>
        <v>2023</v>
      </c>
      <c r="C183" t="str">
        <f t="shared" si="13"/>
        <v>nov</v>
      </c>
      <c r="D183" t="str">
        <f t="shared" si="14"/>
        <v>Novembro</v>
      </c>
      <c r="E183">
        <f t="shared" si="15"/>
        <v>7</v>
      </c>
      <c r="F183" t="s">
        <v>489</v>
      </c>
      <c r="G183" t="s">
        <v>492</v>
      </c>
      <c r="H183" t="str">
        <f t="shared" si="16"/>
        <v/>
      </c>
      <c r="I183" t="s">
        <v>508</v>
      </c>
      <c r="J183" s="4">
        <v>378</v>
      </c>
      <c r="K183" s="4">
        <f t="shared" si="17"/>
        <v>12744</v>
      </c>
    </row>
    <row r="184" spans="1:11" x14ac:dyDescent="0.25">
      <c r="A184" t="s">
        <v>149</v>
      </c>
      <c r="B184">
        <f t="shared" si="12"/>
        <v>2023</v>
      </c>
      <c r="C184" t="str">
        <f t="shared" si="13"/>
        <v>nov</v>
      </c>
      <c r="D184" t="str">
        <f t="shared" si="14"/>
        <v>Novembro</v>
      </c>
      <c r="E184">
        <f t="shared" si="15"/>
        <v>17</v>
      </c>
      <c r="F184" t="s">
        <v>488</v>
      </c>
      <c r="G184" t="s">
        <v>495</v>
      </c>
      <c r="H184" t="str">
        <f t="shared" si="16"/>
        <v>Outras Receitas</v>
      </c>
      <c r="I184" t="s">
        <v>507</v>
      </c>
      <c r="J184" s="4">
        <v>454</v>
      </c>
      <c r="K184" s="4">
        <f t="shared" si="17"/>
        <v>13198</v>
      </c>
    </row>
    <row r="185" spans="1:11" x14ac:dyDescent="0.25">
      <c r="A185" t="s">
        <v>150</v>
      </c>
      <c r="B185">
        <f t="shared" si="12"/>
        <v>2023</v>
      </c>
      <c r="C185" t="str">
        <f t="shared" si="13"/>
        <v>nov</v>
      </c>
      <c r="D185" t="str">
        <f t="shared" si="14"/>
        <v>Novembro</v>
      </c>
      <c r="E185">
        <f t="shared" si="15"/>
        <v>18</v>
      </c>
      <c r="F185" t="s">
        <v>489</v>
      </c>
      <c r="G185" t="s">
        <v>497</v>
      </c>
      <c r="H185" t="str">
        <f t="shared" si="16"/>
        <v/>
      </c>
      <c r="I185" t="s">
        <v>520</v>
      </c>
      <c r="J185" s="4">
        <v>768</v>
      </c>
      <c r="K185" s="4">
        <f t="shared" si="17"/>
        <v>12430</v>
      </c>
    </row>
    <row r="186" spans="1:11" x14ac:dyDescent="0.25">
      <c r="A186" t="s">
        <v>151</v>
      </c>
      <c r="B186">
        <f t="shared" si="12"/>
        <v>2023</v>
      </c>
      <c r="C186" t="str">
        <f t="shared" si="13"/>
        <v>nov</v>
      </c>
      <c r="D186" t="str">
        <f t="shared" si="14"/>
        <v>Novembro</v>
      </c>
      <c r="E186">
        <f t="shared" si="15"/>
        <v>21</v>
      </c>
      <c r="F186" t="s">
        <v>489</v>
      </c>
      <c r="G186" t="s">
        <v>493</v>
      </c>
      <c r="H186" t="str">
        <f t="shared" si="16"/>
        <v/>
      </c>
      <c r="I186" t="s">
        <v>518</v>
      </c>
      <c r="J186" s="4">
        <v>392</v>
      </c>
      <c r="K186" s="4">
        <f t="shared" si="17"/>
        <v>12038</v>
      </c>
    </row>
    <row r="187" spans="1:11" x14ac:dyDescent="0.25">
      <c r="A187" t="s">
        <v>152</v>
      </c>
      <c r="B187">
        <f t="shared" si="12"/>
        <v>2023</v>
      </c>
      <c r="C187" t="str">
        <f t="shared" si="13"/>
        <v>nov</v>
      </c>
      <c r="D187" t="str">
        <f t="shared" si="14"/>
        <v>Novembro</v>
      </c>
      <c r="E187">
        <f t="shared" si="15"/>
        <v>22</v>
      </c>
      <c r="F187" t="s">
        <v>488</v>
      </c>
      <c r="G187" t="s">
        <v>494</v>
      </c>
      <c r="H187" t="str">
        <f t="shared" si="16"/>
        <v>Outras Receitas</v>
      </c>
      <c r="I187" t="s">
        <v>506</v>
      </c>
      <c r="J187" s="4">
        <v>311</v>
      </c>
      <c r="K187" s="4">
        <f t="shared" si="17"/>
        <v>12349</v>
      </c>
    </row>
    <row r="188" spans="1:11" x14ac:dyDescent="0.25">
      <c r="A188" t="s">
        <v>153</v>
      </c>
      <c r="B188">
        <f t="shared" ref="B188:B249" si="18">YEAR(A188)</f>
        <v>2023</v>
      </c>
      <c r="C188" t="str">
        <f t="shared" ref="C188:C249" si="19">TEXT(A188,"mmm")</f>
        <v>nov</v>
      </c>
      <c r="D188" t="str">
        <f t="shared" ref="D188:D249" si="20">PROPER(TEXT(A188,"Mmmm"))</f>
        <v>Novembro</v>
      </c>
      <c r="E188">
        <f t="shared" si="15"/>
        <v>24</v>
      </c>
      <c r="F188" t="s">
        <v>489</v>
      </c>
      <c r="G188" t="s">
        <v>492</v>
      </c>
      <c r="H188" t="str">
        <f t="shared" si="16"/>
        <v/>
      </c>
      <c r="I188" t="s">
        <v>503</v>
      </c>
      <c r="J188" s="4">
        <v>141</v>
      </c>
      <c r="K188" s="4">
        <f t="shared" si="17"/>
        <v>12208</v>
      </c>
    </row>
    <row r="189" spans="1:11" x14ac:dyDescent="0.25">
      <c r="A189" t="s">
        <v>153</v>
      </c>
      <c r="B189">
        <f t="shared" si="18"/>
        <v>2023</v>
      </c>
      <c r="C189" t="str">
        <f t="shared" si="19"/>
        <v>nov</v>
      </c>
      <c r="D189" t="str">
        <f t="shared" si="20"/>
        <v>Novembro</v>
      </c>
      <c r="E189">
        <f t="shared" si="15"/>
        <v>24</v>
      </c>
      <c r="F189" t="s">
        <v>488</v>
      </c>
      <c r="G189" t="s">
        <v>491</v>
      </c>
      <c r="H189" t="str">
        <f t="shared" si="16"/>
        <v>Outras Receitas</v>
      </c>
      <c r="I189" t="s">
        <v>501</v>
      </c>
      <c r="J189" s="4">
        <v>1386</v>
      </c>
      <c r="K189" s="4">
        <f t="shared" si="17"/>
        <v>13594</v>
      </c>
    </row>
    <row r="190" spans="1:11" x14ac:dyDescent="0.25">
      <c r="A190" t="s">
        <v>154</v>
      </c>
      <c r="B190">
        <f t="shared" si="18"/>
        <v>2023</v>
      </c>
      <c r="C190" t="str">
        <f t="shared" si="19"/>
        <v>nov</v>
      </c>
      <c r="D190" t="str">
        <f t="shared" si="20"/>
        <v>Novembro</v>
      </c>
      <c r="E190">
        <f t="shared" si="15"/>
        <v>26</v>
      </c>
      <c r="F190" t="s">
        <v>489</v>
      </c>
      <c r="G190" t="s">
        <v>492</v>
      </c>
      <c r="H190" t="str">
        <f t="shared" si="16"/>
        <v/>
      </c>
      <c r="I190" t="s">
        <v>514</v>
      </c>
      <c r="J190" s="4">
        <v>1004</v>
      </c>
      <c r="K190" s="4">
        <f t="shared" si="17"/>
        <v>12590</v>
      </c>
    </row>
    <row r="191" spans="1:11" x14ac:dyDescent="0.25">
      <c r="A191" t="s">
        <v>154</v>
      </c>
      <c r="B191">
        <f t="shared" si="18"/>
        <v>2023</v>
      </c>
      <c r="C191" t="str">
        <f t="shared" si="19"/>
        <v>nov</v>
      </c>
      <c r="D191" t="str">
        <f t="shared" si="20"/>
        <v>Novembro</v>
      </c>
      <c r="E191">
        <f t="shared" si="15"/>
        <v>26</v>
      </c>
      <c r="F191" t="s">
        <v>489</v>
      </c>
      <c r="G191" t="s">
        <v>492</v>
      </c>
      <c r="H191" t="str">
        <f t="shared" si="16"/>
        <v/>
      </c>
      <c r="I191" t="s">
        <v>504</v>
      </c>
      <c r="J191" s="4">
        <v>2000</v>
      </c>
      <c r="K191" s="4">
        <f t="shared" si="17"/>
        <v>10590</v>
      </c>
    </row>
    <row r="192" spans="1:11" x14ac:dyDescent="0.25">
      <c r="A192" t="s">
        <v>154</v>
      </c>
      <c r="B192">
        <f t="shared" si="18"/>
        <v>2023</v>
      </c>
      <c r="C192" t="str">
        <f t="shared" si="19"/>
        <v>nov</v>
      </c>
      <c r="D192" t="str">
        <f t="shared" si="20"/>
        <v>Novembro</v>
      </c>
      <c r="E192">
        <f t="shared" si="15"/>
        <v>26</v>
      </c>
      <c r="F192" t="s">
        <v>489</v>
      </c>
      <c r="G192" t="s">
        <v>493</v>
      </c>
      <c r="H192" t="str">
        <f t="shared" si="16"/>
        <v/>
      </c>
      <c r="I192" t="s">
        <v>516</v>
      </c>
      <c r="J192" s="4">
        <v>237</v>
      </c>
      <c r="K192" s="4">
        <f t="shared" si="17"/>
        <v>10353</v>
      </c>
    </row>
    <row r="193" spans="1:11" x14ac:dyDescent="0.25">
      <c r="A193" t="s">
        <v>154</v>
      </c>
      <c r="B193">
        <f t="shared" si="18"/>
        <v>2023</v>
      </c>
      <c r="C193" t="str">
        <f t="shared" si="19"/>
        <v>nov</v>
      </c>
      <c r="D193" t="str">
        <f t="shared" si="20"/>
        <v>Novembro</v>
      </c>
      <c r="E193">
        <f t="shared" si="15"/>
        <v>26</v>
      </c>
      <c r="F193" t="s">
        <v>489</v>
      </c>
      <c r="G193" t="s">
        <v>492</v>
      </c>
      <c r="H193" t="str">
        <f t="shared" si="16"/>
        <v/>
      </c>
      <c r="I193" t="s">
        <v>502</v>
      </c>
      <c r="J193" s="4">
        <v>173</v>
      </c>
      <c r="K193" s="4">
        <f t="shared" si="17"/>
        <v>10180</v>
      </c>
    </row>
    <row r="194" spans="1:11" x14ac:dyDescent="0.25">
      <c r="A194" t="s">
        <v>155</v>
      </c>
      <c r="B194">
        <f t="shared" si="18"/>
        <v>2023</v>
      </c>
      <c r="C194" t="str">
        <f t="shared" si="19"/>
        <v>nov</v>
      </c>
      <c r="D194" t="str">
        <f t="shared" si="20"/>
        <v>Novembro</v>
      </c>
      <c r="E194">
        <f t="shared" si="15"/>
        <v>27</v>
      </c>
      <c r="F194" t="s">
        <v>489</v>
      </c>
      <c r="G194" t="s">
        <v>498</v>
      </c>
      <c r="H194" t="str">
        <f t="shared" si="16"/>
        <v/>
      </c>
      <c r="I194" t="s">
        <v>512</v>
      </c>
      <c r="J194" s="4">
        <v>314</v>
      </c>
      <c r="K194" s="4">
        <f t="shared" si="17"/>
        <v>9866</v>
      </c>
    </row>
    <row r="195" spans="1:11" x14ac:dyDescent="0.25">
      <c r="A195" t="s">
        <v>156</v>
      </c>
      <c r="B195">
        <f t="shared" si="18"/>
        <v>2023</v>
      </c>
      <c r="C195" t="str">
        <f t="shared" si="19"/>
        <v>dez</v>
      </c>
      <c r="D195" t="str">
        <f t="shared" si="20"/>
        <v>Dezembro</v>
      </c>
      <c r="E195">
        <f t="shared" ref="E195:E258" si="21">DAY(A195)</f>
        <v>1</v>
      </c>
      <c r="F195" t="s">
        <v>488</v>
      </c>
      <c r="G195" t="s">
        <v>490</v>
      </c>
      <c r="H195" t="str">
        <f t="shared" ref="H195:H258" si="22">IF(F195="Receita",IF(G195="Salário","Salário","Outras Receitas"),"")</f>
        <v>Salário</v>
      </c>
      <c r="I195" t="s">
        <v>500</v>
      </c>
      <c r="J195" s="4">
        <v>6985</v>
      </c>
      <c r="K195" s="4">
        <f t="shared" ref="K195:K258" si="23">IF(ROW()=2,J195,IF(F195="Receita",K194+J195,K194-J195))</f>
        <v>16851</v>
      </c>
    </row>
    <row r="196" spans="1:11" x14ac:dyDescent="0.25">
      <c r="A196" t="s">
        <v>157</v>
      </c>
      <c r="B196">
        <f t="shared" si="18"/>
        <v>2023</v>
      </c>
      <c r="C196" t="str">
        <f t="shared" si="19"/>
        <v>dez</v>
      </c>
      <c r="D196" t="str">
        <f t="shared" si="20"/>
        <v>Dezembro</v>
      </c>
      <c r="E196">
        <f t="shared" si="21"/>
        <v>4</v>
      </c>
      <c r="F196" t="s">
        <v>489</v>
      </c>
      <c r="G196" t="s">
        <v>492</v>
      </c>
      <c r="H196" t="str">
        <f t="shared" si="22"/>
        <v/>
      </c>
      <c r="I196" t="s">
        <v>508</v>
      </c>
      <c r="J196" s="4">
        <v>361</v>
      </c>
      <c r="K196" s="4">
        <f t="shared" si="23"/>
        <v>16490</v>
      </c>
    </row>
    <row r="197" spans="1:11" x14ac:dyDescent="0.25">
      <c r="A197" t="s">
        <v>157</v>
      </c>
      <c r="B197">
        <f t="shared" si="18"/>
        <v>2023</v>
      </c>
      <c r="C197" t="str">
        <f t="shared" si="19"/>
        <v>dez</v>
      </c>
      <c r="D197" t="str">
        <f t="shared" si="20"/>
        <v>Dezembro</v>
      </c>
      <c r="E197">
        <f t="shared" si="21"/>
        <v>4</v>
      </c>
      <c r="F197" t="s">
        <v>489</v>
      </c>
      <c r="G197" t="s">
        <v>493</v>
      </c>
      <c r="H197" t="str">
        <f t="shared" si="22"/>
        <v/>
      </c>
      <c r="I197" t="s">
        <v>518</v>
      </c>
      <c r="J197" s="4">
        <v>423</v>
      </c>
      <c r="K197" s="4">
        <f t="shared" si="23"/>
        <v>16067</v>
      </c>
    </row>
    <row r="198" spans="1:11" x14ac:dyDescent="0.25">
      <c r="A198" t="s">
        <v>157</v>
      </c>
      <c r="B198">
        <f t="shared" si="18"/>
        <v>2023</v>
      </c>
      <c r="C198" t="str">
        <f t="shared" si="19"/>
        <v>dez</v>
      </c>
      <c r="D198" t="str">
        <f t="shared" si="20"/>
        <v>Dezembro</v>
      </c>
      <c r="E198">
        <f t="shared" si="21"/>
        <v>4</v>
      </c>
      <c r="F198" t="s">
        <v>489</v>
      </c>
      <c r="G198" t="s">
        <v>498</v>
      </c>
      <c r="H198" t="str">
        <f t="shared" si="22"/>
        <v/>
      </c>
      <c r="I198" t="s">
        <v>513</v>
      </c>
      <c r="J198" s="4">
        <v>901</v>
      </c>
      <c r="K198" s="4">
        <f t="shared" si="23"/>
        <v>15166</v>
      </c>
    </row>
    <row r="199" spans="1:11" x14ac:dyDescent="0.25">
      <c r="A199" t="s">
        <v>158</v>
      </c>
      <c r="B199">
        <f t="shared" si="18"/>
        <v>2023</v>
      </c>
      <c r="C199" t="str">
        <f t="shared" si="19"/>
        <v>dez</v>
      </c>
      <c r="D199" t="str">
        <f t="shared" si="20"/>
        <v>Dezembro</v>
      </c>
      <c r="E199">
        <f t="shared" si="21"/>
        <v>6</v>
      </c>
      <c r="F199" t="s">
        <v>489</v>
      </c>
      <c r="G199" t="s">
        <v>497</v>
      </c>
      <c r="H199" t="str">
        <f t="shared" si="22"/>
        <v/>
      </c>
      <c r="I199" t="s">
        <v>520</v>
      </c>
      <c r="J199" s="4">
        <v>729</v>
      </c>
      <c r="K199" s="4">
        <f t="shared" si="23"/>
        <v>14437</v>
      </c>
    </row>
    <row r="200" spans="1:11" x14ac:dyDescent="0.25">
      <c r="A200" t="s">
        <v>159</v>
      </c>
      <c r="B200">
        <f t="shared" si="18"/>
        <v>2023</v>
      </c>
      <c r="C200" t="str">
        <f t="shared" si="19"/>
        <v>dez</v>
      </c>
      <c r="D200" t="str">
        <f t="shared" si="20"/>
        <v>Dezembro</v>
      </c>
      <c r="E200">
        <f t="shared" si="21"/>
        <v>9</v>
      </c>
      <c r="F200" t="s">
        <v>489</v>
      </c>
      <c r="G200" t="s">
        <v>492</v>
      </c>
      <c r="H200" t="str">
        <f t="shared" si="22"/>
        <v/>
      </c>
      <c r="I200" t="s">
        <v>502</v>
      </c>
      <c r="J200" s="4">
        <v>160</v>
      </c>
      <c r="K200" s="4">
        <f t="shared" si="23"/>
        <v>14277</v>
      </c>
    </row>
    <row r="201" spans="1:11" x14ac:dyDescent="0.25">
      <c r="A201" t="s">
        <v>159</v>
      </c>
      <c r="B201">
        <f t="shared" si="18"/>
        <v>2023</v>
      </c>
      <c r="C201" t="str">
        <f t="shared" si="19"/>
        <v>dez</v>
      </c>
      <c r="D201" t="str">
        <f t="shared" si="20"/>
        <v>Dezembro</v>
      </c>
      <c r="E201">
        <f t="shared" si="21"/>
        <v>9</v>
      </c>
      <c r="F201" t="s">
        <v>489</v>
      </c>
      <c r="G201" t="s">
        <v>498</v>
      </c>
      <c r="H201" t="str">
        <f t="shared" si="22"/>
        <v/>
      </c>
      <c r="I201" t="s">
        <v>512</v>
      </c>
      <c r="J201" s="4">
        <v>301</v>
      </c>
      <c r="K201" s="4">
        <f t="shared" si="23"/>
        <v>13976</v>
      </c>
    </row>
    <row r="202" spans="1:11" x14ac:dyDescent="0.25">
      <c r="A202" t="s">
        <v>159</v>
      </c>
      <c r="B202">
        <f t="shared" si="18"/>
        <v>2023</v>
      </c>
      <c r="C202" t="str">
        <f t="shared" si="19"/>
        <v>dez</v>
      </c>
      <c r="D202" t="str">
        <f t="shared" si="20"/>
        <v>Dezembro</v>
      </c>
      <c r="E202">
        <f t="shared" si="21"/>
        <v>9</v>
      </c>
      <c r="F202" t="s">
        <v>489</v>
      </c>
      <c r="G202" t="s">
        <v>492</v>
      </c>
      <c r="H202" t="str">
        <f t="shared" si="22"/>
        <v/>
      </c>
      <c r="I202" t="s">
        <v>503</v>
      </c>
      <c r="J202" s="4">
        <v>127</v>
      </c>
      <c r="K202" s="4">
        <f t="shared" si="23"/>
        <v>13849</v>
      </c>
    </row>
    <row r="203" spans="1:11" x14ac:dyDescent="0.25">
      <c r="A203" t="s">
        <v>160</v>
      </c>
      <c r="B203">
        <f t="shared" si="18"/>
        <v>2023</v>
      </c>
      <c r="C203" t="str">
        <f t="shared" si="19"/>
        <v>dez</v>
      </c>
      <c r="D203" t="str">
        <f t="shared" si="20"/>
        <v>Dezembro</v>
      </c>
      <c r="E203">
        <f t="shared" si="21"/>
        <v>10</v>
      </c>
      <c r="F203" t="s">
        <v>488</v>
      </c>
      <c r="G203" t="s">
        <v>491</v>
      </c>
      <c r="H203" t="str">
        <f t="shared" si="22"/>
        <v>Outras Receitas</v>
      </c>
      <c r="I203" t="s">
        <v>501</v>
      </c>
      <c r="J203" s="4">
        <v>1106</v>
      </c>
      <c r="K203" s="4">
        <f t="shared" si="23"/>
        <v>14955</v>
      </c>
    </row>
    <row r="204" spans="1:11" x14ac:dyDescent="0.25">
      <c r="A204" t="s">
        <v>161</v>
      </c>
      <c r="B204">
        <f t="shared" si="18"/>
        <v>2023</v>
      </c>
      <c r="C204" t="str">
        <f t="shared" si="19"/>
        <v>dez</v>
      </c>
      <c r="D204" t="str">
        <f t="shared" si="20"/>
        <v>Dezembro</v>
      </c>
      <c r="E204">
        <f t="shared" si="21"/>
        <v>12</v>
      </c>
      <c r="F204" t="s">
        <v>489</v>
      </c>
      <c r="G204" t="s">
        <v>493</v>
      </c>
      <c r="H204" t="str">
        <f t="shared" si="22"/>
        <v/>
      </c>
      <c r="I204" t="s">
        <v>516</v>
      </c>
      <c r="J204" s="4">
        <v>222</v>
      </c>
      <c r="K204" s="4">
        <f t="shared" si="23"/>
        <v>14733</v>
      </c>
    </row>
    <row r="205" spans="1:11" x14ac:dyDescent="0.25">
      <c r="A205" t="s">
        <v>161</v>
      </c>
      <c r="B205">
        <f t="shared" si="18"/>
        <v>2023</v>
      </c>
      <c r="C205" t="str">
        <f t="shared" si="19"/>
        <v>dez</v>
      </c>
      <c r="D205" t="str">
        <f t="shared" si="20"/>
        <v>Dezembro</v>
      </c>
      <c r="E205">
        <f t="shared" si="21"/>
        <v>12</v>
      </c>
      <c r="F205" t="s">
        <v>489</v>
      </c>
      <c r="G205" t="s">
        <v>492</v>
      </c>
      <c r="H205" t="str">
        <f t="shared" si="22"/>
        <v/>
      </c>
      <c r="I205" t="s">
        <v>517</v>
      </c>
      <c r="J205" s="4">
        <v>260</v>
      </c>
      <c r="K205" s="4">
        <f t="shared" si="23"/>
        <v>14473</v>
      </c>
    </row>
    <row r="206" spans="1:11" x14ac:dyDescent="0.25">
      <c r="A206" t="s">
        <v>162</v>
      </c>
      <c r="B206">
        <f t="shared" si="18"/>
        <v>2023</v>
      </c>
      <c r="C206" t="str">
        <f t="shared" si="19"/>
        <v>dez</v>
      </c>
      <c r="D206" t="str">
        <f t="shared" si="20"/>
        <v>Dezembro</v>
      </c>
      <c r="E206">
        <f t="shared" si="21"/>
        <v>18</v>
      </c>
      <c r="F206" t="s">
        <v>489</v>
      </c>
      <c r="G206" t="s">
        <v>492</v>
      </c>
      <c r="H206" t="str">
        <f t="shared" si="22"/>
        <v/>
      </c>
      <c r="I206" t="s">
        <v>514</v>
      </c>
      <c r="J206" s="4">
        <v>896</v>
      </c>
      <c r="K206" s="4">
        <f t="shared" si="23"/>
        <v>13577</v>
      </c>
    </row>
    <row r="207" spans="1:11" x14ac:dyDescent="0.25">
      <c r="A207" t="s">
        <v>163</v>
      </c>
      <c r="B207">
        <f t="shared" si="18"/>
        <v>2023</v>
      </c>
      <c r="C207" t="str">
        <f t="shared" si="19"/>
        <v>dez</v>
      </c>
      <c r="D207" t="str">
        <f t="shared" si="20"/>
        <v>Dezembro</v>
      </c>
      <c r="E207">
        <f t="shared" si="21"/>
        <v>25</v>
      </c>
      <c r="F207" t="s">
        <v>489</v>
      </c>
      <c r="G207" t="s">
        <v>496</v>
      </c>
      <c r="H207" t="str">
        <f t="shared" si="22"/>
        <v/>
      </c>
      <c r="I207" t="s">
        <v>530</v>
      </c>
      <c r="J207" s="4">
        <v>1162</v>
      </c>
      <c r="K207" s="4">
        <f t="shared" si="23"/>
        <v>12415</v>
      </c>
    </row>
    <row r="208" spans="1:11" x14ac:dyDescent="0.25">
      <c r="A208" t="s">
        <v>164</v>
      </c>
      <c r="B208">
        <f t="shared" si="18"/>
        <v>2023</v>
      </c>
      <c r="C208" t="str">
        <f t="shared" si="19"/>
        <v>dez</v>
      </c>
      <c r="D208" t="str">
        <f t="shared" si="20"/>
        <v>Dezembro</v>
      </c>
      <c r="E208">
        <f t="shared" si="21"/>
        <v>26</v>
      </c>
      <c r="F208" t="s">
        <v>489</v>
      </c>
      <c r="G208" t="s">
        <v>492</v>
      </c>
      <c r="H208" t="str">
        <f t="shared" si="22"/>
        <v/>
      </c>
      <c r="I208" t="s">
        <v>504</v>
      </c>
      <c r="J208" s="4">
        <v>2000</v>
      </c>
      <c r="K208" s="4">
        <f t="shared" si="23"/>
        <v>10415</v>
      </c>
    </row>
    <row r="209" spans="1:11" x14ac:dyDescent="0.25">
      <c r="A209" t="s">
        <v>165</v>
      </c>
      <c r="B209">
        <f t="shared" si="18"/>
        <v>2023</v>
      </c>
      <c r="C209" t="str">
        <f t="shared" si="19"/>
        <v>dez</v>
      </c>
      <c r="D209" t="str">
        <f t="shared" si="20"/>
        <v>Dezembro</v>
      </c>
      <c r="E209">
        <f t="shared" si="21"/>
        <v>28</v>
      </c>
      <c r="F209" t="s">
        <v>488</v>
      </c>
      <c r="G209" t="s">
        <v>495</v>
      </c>
      <c r="H209" t="str">
        <f t="shared" si="22"/>
        <v>Outras Receitas</v>
      </c>
      <c r="I209" t="s">
        <v>507</v>
      </c>
      <c r="J209" s="4">
        <v>576</v>
      </c>
      <c r="K209" s="4">
        <f t="shared" si="23"/>
        <v>10991</v>
      </c>
    </row>
    <row r="210" spans="1:11" x14ac:dyDescent="0.25">
      <c r="A210" t="s">
        <v>165</v>
      </c>
      <c r="B210">
        <f t="shared" si="18"/>
        <v>2023</v>
      </c>
      <c r="C210" t="str">
        <f t="shared" si="19"/>
        <v>dez</v>
      </c>
      <c r="D210" t="str">
        <f t="shared" si="20"/>
        <v>Dezembro</v>
      </c>
      <c r="E210">
        <f t="shared" si="21"/>
        <v>28</v>
      </c>
      <c r="F210" t="s">
        <v>489</v>
      </c>
      <c r="G210" t="s">
        <v>496</v>
      </c>
      <c r="H210" t="str">
        <f t="shared" si="22"/>
        <v/>
      </c>
      <c r="I210" t="s">
        <v>530</v>
      </c>
      <c r="J210" s="4">
        <v>858</v>
      </c>
      <c r="K210" s="4">
        <f t="shared" si="23"/>
        <v>10133</v>
      </c>
    </row>
    <row r="211" spans="1:11" x14ac:dyDescent="0.25">
      <c r="A211" t="s">
        <v>166</v>
      </c>
      <c r="B211">
        <f t="shared" si="18"/>
        <v>2024</v>
      </c>
      <c r="C211" t="str">
        <f t="shared" si="19"/>
        <v>jan</v>
      </c>
      <c r="D211" t="str">
        <f t="shared" si="20"/>
        <v>Janeiro</v>
      </c>
      <c r="E211">
        <f t="shared" si="21"/>
        <v>1</v>
      </c>
      <c r="F211" t="s">
        <v>488</v>
      </c>
      <c r="G211" t="s">
        <v>490</v>
      </c>
      <c r="H211" t="str">
        <f t="shared" si="22"/>
        <v>Salário</v>
      </c>
      <c r="I211" t="s">
        <v>500</v>
      </c>
      <c r="J211" s="4">
        <v>6864</v>
      </c>
      <c r="K211" s="4">
        <f t="shared" si="23"/>
        <v>16997</v>
      </c>
    </row>
    <row r="212" spans="1:11" x14ac:dyDescent="0.25">
      <c r="A212" t="s">
        <v>167</v>
      </c>
      <c r="B212">
        <f t="shared" si="18"/>
        <v>2024</v>
      </c>
      <c r="C212" t="str">
        <f t="shared" si="19"/>
        <v>jan</v>
      </c>
      <c r="D212" t="str">
        <f t="shared" si="20"/>
        <v>Janeiro</v>
      </c>
      <c r="E212">
        <f t="shared" si="21"/>
        <v>2</v>
      </c>
      <c r="F212" t="s">
        <v>489</v>
      </c>
      <c r="G212" t="s">
        <v>493</v>
      </c>
      <c r="H212" t="str">
        <f t="shared" si="22"/>
        <v/>
      </c>
      <c r="I212" t="s">
        <v>525</v>
      </c>
      <c r="J212" s="4">
        <v>1023</v>
      </c>
      <c r="K212" s="4">
        <f t="shared" si="23"/>
        <v>15974</v>
      </c>
    </row>
    <row r="213" spans="1:11" x14ac:dyDescent="0.25">
      <c r="A213" t="s">
        <v>168</v>
      </c>
      <c r="B213">
        <f t="shared" si="18"/>
        <v>2024</v>
      </c>
      <c r="C213" t="str">
        <f t="shared" si="19"/>
        <v>jan</v>
      </c>
      <c r="D213" t="str">
        <f t="shared" si="20"/>
        <v>Janeiro</v>
      </c>
      <c r="E213">
        <f t="shared" si="21"/>
        <v>6</v>
      </c>
      <c r="F213" t="s">
        <v>489</v>
      </c>
      <c r="G213" t="s">
        <v>492</v>
      </c>
      <c r="H213" t="str">
        <f t="shared" si="22"/>
        <v/>
      </c>
      <c r="I213" t="s">
        <v>508</v>
      </c>
      <c r="J213" s="4">
        <v>412</v>
      </c>
      <c r="K213" s="4">
        <f t="shared" si="23"/>
        <v>15562</v>
      </c>
    </row>
    <row r="214" spans="1:11" x14ac:dyDescent="0.25">
      <c r="A214" t="s">
        <v>169</v>
      </c>
      <c r="B214">
        <f t="shared" si="18"/>
        <v>2024</v>
      </c>
      <c r="C214" t="str">
        <f t="shared" si="19"/>
        <v>jan</v>
      </c>
      <c r="D214" t="str">
        <f t="shared" si="20"/>
        <v>Janeiro</v>
      </c>
      <c r="E214">
        <f t="shared" si="21"/>
        <v>8</v>
      </c>
      <c r="F214" t="s">
        <v>489</v>
      </c>
      <c r="G214" t="s">
        <v>493</v>
      </c>
      <c r="H214" t="str">
        <f t="shared" si="22"/>
        <v/>
      </c>
      <c r="I214" t="s">
        <v>516</v>
      </c>
      <c r="J214" s="4">
        <v>218</v>
      </c>
      <c r="K214" s="4">
        <f t="shared" si="23"/>
        <v>15344</v>
      </c>
    </row>
    <row r="215" spans="1:11" x14ac:dyDescent="0.25">
      <c r="A215" t="s">
        <v>170</v>
      </c>
      <c r="B215">
        <f t="shared" si="18"/>
        <v>2024</v>
      </c>
      <c r="C215" t="str">
        <f t="shared" si="19"/>
        <v>jan</v>
      </c>
      <c r="D215" t="str">
        <f t="shared" si="20"/>
        <v>Janeiro</v>
      </c>
      <c r="E215">
        <f t="shared" si="21"/>
        <v>10</v>
      </c>
      <c r="F215" t="s">
        <v>489</v>
      </c>
      <c r="G215" t="s">
        <v>493</v>
      </c>
      <c r="H215" t="str">
        <f t="shared" si="22"/>
        <v/>
      </c>
      <c r="I215" t="s">
        <v>505</v>
      </c>
      <c r="J215" s="4">
        <v>923</v>
      </c>
      <c r="K215" s="4">
        <f t="shared" si="23"/>
        <v>14421</v>
      </c>
    </row>
    <row r="216" spans="1:11" x14ac:dyDescent="0.25">
      <c r="A216" t="s">
        <v>170</v>
      </c>
      <c r="B216">
        <f t="shared" si="18"/>
        <v>2024</v>
      </c>
      <c r="C216" t="str">
        <f t="shared" si="19"/>
        <v>jan</v>
      </c>
      <c r="D216" t="str">
        <f t="shared" si="20"/>
        <v>Janeiro</v>
      </c>
      <c r="E216">
        <f t="shared" si="21"/>
        <v>10</v>
      </c>
      <c r="F216" t="s">
        <v>489</v>
      </c>
      <c r="G216" t="s">
        <v>493</v>
      </c>
      <c r="H216" t="str">
        <f t="shared" si="22"/>
        <v/>
      </c>
      <c r="I216" t="s">
        <v>518</v>
      </c>
      <c r="J216" s="4">
        <v>412</v>
      </c>
      <c r="K216" s="4">
        <f t="shared" si="23"/>
        <v>14009</v>
      </c>
    </row>
    <row r="217" spans="1:11" x14ac:dyDescent="0.25">
      <c r="A217" t="s">
        <v>171</v>
      </c>
      <c r="B217">
        <f t="shared" si="18"/>
        <v>2024</v>
      </c>
      <c r="C217" t="str">
        <f t="shared" si="19"/>
        <v>jan</v>
      </c>
      <c r="D217" t="str">
        <f t="shared" si="20"/>
        <v>Janeiro</v>
      </c>
      <c r="E217">
        <f t="shared" si="21"/>
        <v>14</v>
      </c>
      <c r="F217" t="s">
        <v>489</v>
      </c>
      <c r="G217" t="s">
        <v>492</v>
      </c>
      <c r="H217" t="str">
        <f t="shared" si="22"/>
        <v/>
      </c>
      <c r="I217" t="s">
        <v>514</v>
      </c>
      <c r="J217" s="4">
        <v>961</v>
      </c>
      <c r="K217" s="4">
        <f t="shared" si="23"/>
        <v>13048</v>
      </c>
    </row>
    <row r="218" spans="1:11" x14ac:dyDescent="0.25">
      <c r="A218" t="s">
        <v>171</v>
      </c>
      <c r="B218">
        <f t="shared" si="18"/>
        <v>2024</v>
      </c>
      <c r="C218" t="str">
        <f t="shared" si="19"/>
        <v>jan</v>
      </c>
      <c r="D218" t="str">
        <f t="shared" si="20"/>
        <v>Janeiro</v>
      </c>
      <c r="E218">
        <f t="shared" si="21"/>
        <v>14</v>
      </c>
      <c r="F218" t="s">
        <v>489</v>
      </c>
      <c r="G218" t="s">
        <v>492</v>
      </c>
      <c r="H218" t="str">
        <f t="shared" si="22"/>
        <v/>
      </c>
      <c r="I218" t="s">
        <v>517</v>
      </c>
      <c r="J218" s="4">
        <v>252</v>
      </c>
      <c r="K218" s="4">
        <f t="shared" si="23"/>
        <v>12796</v>
      </c>
    </row>
    <row r="219" spans="1:11" x14ac:dyDescent="0.25">
      <c r="A219" t="s">
        <v>171</v>
      </c>
      <c r="B219">
        <f t="shared" si="18"/>
        <v>2024</v>
      </c>
      <c r="C219" t="str">
        <f t="shared" si="19"/>
        <v>jan</v>
      </c>
      <c r="D219" t="str">
        <f t="shared" si="20"/>
        <v>Janeiro</v>
      </c>
      <c r="E219">
        <f t="shared" si="21"/>
        <v>14</v>
      </c>
      <c r="F219" t="s">
        <v>488</v>
      </c>
      <c r="G219" t="s">
        <v>495</v>
      </c>
      <c r="H219" t="str">
        <f t="shared" si="22"/>
        <v>Outras Receitas</v>
      </c>
      <c r="I219" t="s">
        <v>507</v>
      </c>
      <c r="J219" s="4">
        <v>422</v>
      </c>
      <c r="K219" s="4">
        <f t="shared" si="23"/>
        <v>13218</v>
      </c>
    </row>
    <row r="220" spans="1:11" x14ac:dyDescent="0.25">
      <c r="A220" t="s">
        <v>172</v>
      </c>
      <c r="B220">
        <f t="shared" si="18"/>
        <v>2024</v>
      </c>
      <c r="C220" t="str">
        <f t="shared" si="19"/>
        <v>jan</v>
      </c>
      <c r="D220" t="str">
        <f t="shared" si="20"/>
        <v>Janeiro</v>
      </c>
      <c r="E220">
        <f t="shared" si="21"/>
        <v>16</v>
      </c>
      <c r="F220" t="s">
        <v>489</v>
      </c>
      <c r="G220" t="s">
        <v>497</v>
      </c>
      <c r="H220" t="str">
        <f t="shared" si="22"/>
        <v/>
      </c>
      <c r="I220" t="s">
        <v>520</v>
      </c>
      <c r="J220" s="4">
        <v>655</v>
      </c>
      <c r="K220" s="4">
        <f t="shared" si="23"/>
        <v>12563</v>
      </c>
    </row>
    <row r="221" spans="1:11" x14ac:dyDescent="0.25">
      <c r="A221" t="s">
        <v>173</v>
      </c>
      <c r="B221">
        <f t="shared" si="18"/>
        <v>2024</v>
      </c>
      <c r="C221" t="str">
        <f t="shared" si="19"/>
        <v>jan</v>
      </c>
      <c r="D221" t="str">
        <f t="shared" si="20"/>
        <v>Janeiro</v>
      </c>
      <c r="E221">
        <f t="shared" si="21"/>
        <v>17</v>
      </c>
      <c r="F221" t="s">
        <v>488</v>
      </c>
      <c r="G221" t="s">
        <v>491</v>
      </c>
      <c r="H221" t="str">
        <f t="shared" si="22"/>
        <v>Outras Receitas</v>
      </c>
      <c r="I221" t="s">
        <v>501</v>
      </c>
      <c r="J221" s="4">
        <v>659</v>
      </c>
      <c r="K221" s="4">
        <f t="shared" si="23"/>
        <v>13222</v>
      </c>
    </row>
    <row r="222" spans="1:11" x14ac:dyDescent="0.25">
      <c r="A222" t="s">
        <v>174</v>
      </c>
      <c r="B222">
        <f t="shared" si="18"/>
        <v>2024</v>
      </c>
      <c r="C222" t="str">
        <f t="shared" si="19"/>
        <v>jan</v>
      </c>
      <c r="D222" t="str">
        <f t="shared" si="20"/>
        <v>Janeiro</v>
      </c>
      <c r="E222">
        <f t="shared" si="21"/>
        <v>19</v>
      </c>
      <c r="F222" t="s">
        <v>489</v>
      </c>
      <c r="G222" t="s">
        <v>492</v>
      </c>
      <c r="H222" t="str">
        <f t="shared" si="22"/>
        <v/>
      </c>
      <c r="I222" t="s">
        <v>503</v>
      </c>
      <c r="J222" s="4">
        <v>114</v>
      </c>
      <c r="K222" s="4">
        <f t="shared" si="23"/>
        <v>13108</v>
      </c>
    </row>
    <row r="223" spans="1:11" x14ac:dyDescent="0.25">
      <c r="A223" t="s">
        <v>175</v>
      </c>
      <c r="B223">
        <f t="shared" si="18"/>
        <v>2024</v>
      </c>
      <c r="C223" t="str">
        <f t="shared" si="19"/>
        <v>jan</v>
      </c>
      <c r="D223" t="str">
        <f t="shared" si="20"/>
        <v>Janeiro</v>
      </c>
      <c r="E223">
        <f t="shared" si="21"/>
        <v>20</v>
      </c>
      <c r="F223" t="s">
        <v>489</v>
      </c>
      <c r="G223" t="s">
        <v>497</v>
      </c>
      <c r="H223" t="str">
        <f t="shared" si="22"/>
        <v/>
      </c>
      <c r="I223" t="s">
        <v>524</v>
      </c>
      <c r="J223" s="4">
        <v>294</v>
      </c>
      <c r="K223" s="4">
        <f t="shared" si="23"/>
        <v>12814</v>
      </c>
    </row>
    <row r="224" spans="1:11" x14ac:dyDescent="0.25">
      <c r="A224" t="s">
        <v>176</v>
      </c>
      <c r="B224">
        <f t="shared" si="18"/>
        <v>2024</v>
      </c>
      <c r="C224" t="str">
        <f t="shared" si="19"/>
        <v>jan</v>
      </c>
      <c r="D224" t="str">
        <f t="shared" si="20"/>
        <v>Janeiro</v>
      </c>
      <c r="E224">
        <f t="shared" si="21"/>
        <v>21</v>
      </c>
      <c r="F224" t="s">
        <v>489</v>
      </c>
      <c r="G224" t="s">
        <v>499</v>
      </c>
      <c r="H224" t="str">
        <f t="shared" si="22"/>
        <v/>
      </c>
      <c r="I224" t="s">
        <v>521</v>
      </c>
      <c r="J224" s="4">
        <v>101</v>
      </c>
      <c r="K224" s="4">
        <f t="shared" si="23"/>
        <v>12713</v>
      </c>
    </row>
    <row r="225" spans="1:11" x14ac:dyDescent="0.25">
      <c r="A225" t="s">
        <v>177</v>
      </c>
      <c r="B225">
        <f t="shared" si="18"/>
        <v>2024</v>
      </c>
      <c r="C225" t="str">
        <f t="shared" si="19"/>
        <v>jan</v>
      </c>
      <c r="D225" t="str">
        <f t="shared" si="20"/>
        <v>Janeiro</v>
      </c>
      <c r="E225">
        <f t="shared" si="21"/>
        <v>22</v>
      </c>
      <c r="F225" t="s">
        <v>489</v>
      </c>
      <c r="G225" t="s">
        <v>498</v>
      </c>
      <c r="H225" t="str">
        <f t="shared" si="22"/>
        <v/>
      </c>
      <c r="I225" t="s">
        <v>512</v>
      </c>
      <c r="J225" s="4">
        <v>309</v>
      </c>
      <c r="K225" s="4">
        <f t="shared" si="23"/>
        <v>12404</v>
      </c>
    </row>
    <row r="226" spans="1:11" x14ac:dyDescent="0.25">
      <c r="A226" t="s">
        <v>178</v>
      </c>
      <c r="B226">
        <f t="shared" si="18"/>
        <v>2024</v>
      </c>
      <c r="C226" t="str">
        <f t="shared" si="19"/>
        <v>jan</v>
      </c>
      <c r="D226" t="str">
        <f t="shared" si="20"/>
        <v>Janeiro</v>
      </c>
      <c r="E226">
        <f t="shared" si="21"/>
        <v>23</v>
      </c>
      <c r="F226" t="s">
        <v>489</v>
      </c>
      <c r="G226" t="s">
        <v>498</v>
      </c>
      <c r="H226" t="str">
        <f t="shared" si="22"/>
        <v/>
      </c>
      <c r="I226" t="s">
        <v>513</v>
      </c>
      <c r="J226" s="4">
        <v>840</v>
      </c>
      <c r="K226" s="4">
        <f t="shared" si="23"/>
        <v>11564</v>
      </c>
    </row>
    <row r="227" spans="1:11" x14ac:dyDescent="0.25">
      <c r="A227" t="s">
        <v>179</v>
      </c>
      <c r="B227">
        <f t="shared" si="18"/>
        <v>2024</v>
      </c>
      <c r="C227" t="str">
        <f t="shared" si="19"/>
        <v>jan</v>
      </c>
      <c r="D227" t="str">
        <f t="shared" si="20"/>
        <v>Janeiro</v>
      </c>
      <c r="E227">
        <f t="shared" si="21"/>
        <v>26</v>
      </c>
      <c r="F227" t="s">
        <v>489</v>
      </c>
      <c r="G227" t="s">
        <v>496</v>
      </c>
      <c r="H227" t="str">
        <f t="shared" si="22"/>
        <v/>
      </c>
      <c r="I227" t="s">
        <v>509</v>
      </c>
      <c r="J227" s="4">
        <v>200</v>
      </c>
      <c r="K227" s="4">
        <f t="shared" si="23"/>
        <v>11364</v>
      </c>
    </row>
    <row r="228" spans="1:11" x14ac:dyDescent="0.25">
      <c r="A228" t="s">
        <v>179</v>
      </c>
      <c r="B228">
        <f t="shared" si="18"/>
        <v>2024</v>
      </c>
      <c r="C228" t="str">
        <f t="shared" si="19"/>
        <v>jan</v>
      </c>
      <c r="D228" t="str">
        <f t="shared" si="20"/>
        <v>Janeiro</v>
      </c>
      <c r="E228">
        <f t="shared" si="21"/>
        <v>26</v>
      </c>
      <c r="F228" t="s">
        <v>489</v>
      </c>
      <c r="G228" t="s">
        <v>496</v>
      </c>
      <c r="H228" t="str">
        <f t="shared" si="22"/>
        <v/>
      </c>
      <c r="I228" t="s">
        <v>515</v>
      </c>
      <c r="J228" s="4">
        <v>142</v>
      </c>
      <c r="K228" s="4">
        <f t="shared" si="23"/>
        <v>11222</v>
      </c>
    </row>
    <row r="229" spans="1:11" x14ac:dyDescent="0.25">
      <c r="A229" t="s">
        <v>180</v>
      </c>
      <c r="B229">
        <f t="shared" si="18"/>
        <v>2024</v>
      </c>
      <c r="C229" t="str">
        <f t="shared" si="19"/>
        <v>jan</v>
      </c>
      <c r="D229" t="str">
        <f t="shared" si="20"/>
        <v>Janeiro</v>
      </c>
      <c r="E229">
        <f t="shared" si="21"/>
        <v>27</v>
      </c>
      <c r="F229" t="s">
        <v>489</v>
      </c>
      <c r="G229" t="s">
        <v>492</v>
      </c>
      <c r="H229" t="str">
        <f t="shared" si="22"/>
        <v/>
      </c>
      <c r="I229" t="s">
        <v>504</v>
      </c>
      <c r="J229" s="4">
        <v>2000</v>
      </c>
      <c r="K229" s="4">
        <f t="shared" si="23"/>
        <v>9222</v>
      </c>
    </row>
    <row r="230" spans="1:11" x14ac:dyDescent="0.25">
      <c r="A230" t="s">
        <v>181</v>
      </c>
      <c r="B230">
        <f t="shared" si="18"/>
        <v>2024</v>
      </c>
      <c r="C230" t="str">
        <f t="shared" si="19"/>
        <v>jan</v>
      </c>
      <c r="D230" t="str">
        <f t="shared" si="20"/>
        <v>Janeiro</v>
      </c>
      <c r="E230">
        <f t="shared" si="21"/>
        <v>28</v>
      </c>
      <c r="F230" t="s">
        <v>489</v>
      </c>
      <c r="G230" t="s">
        <v>492</v>
      </c>
      <c r="H230" t="str">
        <f t="shared" si="22"/>
        <v/>
      </c>
      <c r="I230" t="s">
        <v>502</v>
      </c>
      <c r="J230" s="4">
        <v>177</v>
      </c>
      <c r="K230" s="4">
        <f t="shared" si="23"/>
        <v>9045</v>
      </c>
    </row>
    <row r="231" spans="1:11" x14ac:dyDescent="0.25">
      <c r="A231" t="s">
        <v>182</v>
      </c>
      <c r="B231">
        <f t="shared" si="18"/>
        <v>2024</v>
      </c>
      <c r="C231" t="str">
        <f t="shared" si="19"/>
        <v>fev</v>
      </c>
      <c r="D231" t="str">
        <f t="shared" si="20"/>
        <v>Fevereiro</v>
      </c>
      <c r="E231">
        <f t="shared" si="21"/>
        <v>1</v>
      </c>
      <c r="F231" t="s">
        <v>488</v>
      </c>
      <c r="G231" t="s">
        <v>490</v>
      </c>
      <c r="H231" t="str">
        <f t="shared" si="22"/>
        <v>Salário</v>
      </c>
      <c r="I231" t="s">
        <v>500</v>
      </c>
      <c r="J231" s="4">
        <v>6854</v>
      </c>
      <c r="K231" s="4">
        <f t="shared" si="23"/>
        <v>15899</v>
      </c>
    </row>
    <row r="232" spans="1:11" x14ac:dyDescent="0.25">
      <c r="A232" t="s">
        <v>183</v>
      </c>
      <c r="B232">
        <f t="shared" si="18"/>
        <v>2024</v>
      </c>
      <c r="C232" t="str">
        <f t="shared" si="19"/>
        <v>fev</v>
      </c>
      <c r="D232" t="str">
        <f t="shared" si="20"/>
        <v>Fevereiro</v>
      </c>
      <c r="E232">
        <f t="shared" si="21"/>
        <v>5</v>
      </c>
      <c r="F232" t="s">
        <v>489</v>
      </c>
      <c r="G232" t="s">
        <v>492</v>
      </c>
      <c r="H232" t="str">
        <f t="shared" si="22"/>
        <v/>
      </c>
      <c r="I232" t="s">
        <v>514</v>
      </c>
      <c r="J232" s="4">
        <v>975</v>
      </c>
      <c r="K232" s="4">
        <f t="shared" si="23"/>
        <v>14924</v>
      </c>
    </row>
    <row r="233" spans="1:11" x14ac:dyDescent="0.25">
      <c r="A233" t="s">
        <v>183</v>
      </c>
      <c r="B233">
        <f t="shared" si="18"/>
        <v>2024</v>
      </c>
      <c r="C233" t="str">
        <f t="shared" si="19"/>
        <v>fev</v>
      </c>
      <c r="D233" t="str">
        <f t="shared" si="20"/>
        <v>Fevereiro</v>
      </c>
      <c r="E233">
        <f t="shared" si="21"/>
        <v>5</v>
      </c>
      <c r="F233" t="s">
        <v>489</v>
      </c>
      <c r="G233" t="s">
        <v>492</v>
      </c>
      <c r="H233" t="str">
        <f t="shared" si="22"/>
        <v/>
      </c>
      <c r="I233" t="s">
        <v>508</v>
      </c>
      <c r="J233" s="4">
        <v>335</v>
      </c>
      <c r="K233" s="4">
        <f t="shared" si="23"/>
        <v>14589</v>
      </c>
    </row>
    <row r="234" spans="1:11" x14ac:dyDescent="0.25">
      <c r="A234" t="s">
        <v>184</v>
      </c>
      <c r="B234">
        <f t="shared" si="18"/>
        <v>2024</v>
      </c>
      <c r="C234" t="str">
        <f t="shared" si="19"/>
        <v>fev</v>
      </c>
      <c r="D234" t="str">
        <f t="shared" si="20"/>
        <v>Fevereiro</v>
      </c>
      <c r="E234">
        <f t="shared" si="21"/>
        <v>7</v>
      </c>
      <c r="F234" t="s">
        <v>489</v>
      </c>
      <c r="G234" t="s">
        <v>492</v>
      </c>
      <c r="H234" t="str">
        <f t="shared" si="22"/>
        <v/>
      </c>
      <c r="I234" t="s">
        <v>502</v>
      </c>
      <c r="J234" s="4">
        <v>222</v>
      </c>
      <c r="K234" s="4">
        <f t="shared" si="23"/>
        <v>14367</v>
      </c>
    </row>
    <row r="235" spans="1:11" x14ac:dyDescent="0.25">
      <c r="A235" t="s">
        <v>185</v>
      </c>
      <c r="B235">
        <f t="shared" si="18"/>
        <v>2024</v>
      </c>
      <c r="C235" t="str">
        <f t="shared" si="19"/>
        <v>fev</v>
      </c>
      <c r="D235" t="str">
        <f t="shared" si="20"/>
        <v>Fevereiro</v>
      </c>
      <c r="E235">
        <f t="shared" si="21"/>
        <v>11</v>
      </c>
      <c r="F235" t="s">
        <v>489</v>
      </c>
      <c r="G235" t="s">
        <v>492</v>
      </c>
      <c r="H235" t="str">
        <f t="shared" si="22"/>
        <v/>
      </c>
      <c r="I235" t="s">
        <v>503</v>
      </c>
      <c r="J235" s="4">
        <v>144</v>
      </c>
      <c r="K235" s="4">
        <f t="shared" si="23"/>
        <v>14223</v>
      </c>
    </row>
    <row r="236" spans="1:11" x14ac:dyDescent="0.25">
      <c r="A236" t="s">
        <v>186</v>
      </c>
      <c r="B236">
        <f t="shared" si="18"/>
        <v>2024</v>
      </c>
      <c r="C236" t="str">
        <f t="shared" si="19"/>
        <v>fev</v>
      </c>
      <c r="D236" t="str">
        <f t="shared" si="20"/>
        <v>Fevereiro</v>
      </c>
      <c r="E236">
        <f t="shared" si="21"/>
        <v>13</v>
      </c>
      <c r="F236" t="s">
        <v>488</v>
      </c>
      <c r="G236" t="s">
        <v>491</v>
      </c>
      <c r="H236" t="str">
        <f t="shared" si="22"/>
        <v>Outras Receitas</v>
      </c>
      <c r="I236" t="s">
        <v>501</v>
      </c>
      <c r="J236" s="4">
        <v>943</v>
      </c>
      <c r="K236" s="4">
        <f t="shared" si="23"/>
        <v>15166</v>
      </c>
    </row>
    <row r="237" spans="1:11" x14ac:dyDescent="0.25">
      <c r="A237" t="s">
        <v>187</v>
      </c>
      <c r="B237">
        <f t="shared" si="18"/>
        <v>2024</v>
      </c>
      <c r="C237" t="str">
        <f t="shared" si="19"/>
        <v>fev</v>
      </c>
      <c r="D237" t="str">
        <f t="shared" si="20"/>
        <v>Fevereiro</v>
      </c>
      <c r="E237">
        <f t="shared" si="21"/>
        <v>14</v>
      </c>
      <c r="F237" t="s">
        <v>489</v>
      </c>
      <c r="G237" t="s">
        <v>492</v>
      </c>
      <c r="H237" t="str">
        <f t="shared" si="22"/>
        <v/>
      </c>
      <c r="I237" t="s">
        <v>517</v>
      </c>
      <c r="J237" s="4">
        <v>247</v>
      </c>
      <c r="K237" s="4">
        <f t="shared" si="23"/>
        <v>14919</v>
      </c>
    </row>
    <row r="238" spans="1:11" x14ac:dyDescent="0.25">
      <c r="A238" t="s">
        <v>188</v>
      </c>
      <c r="B238">
        <f t="shared" si="18"/>
        <v>2024</v>
      </c>
      <c r="C238" t="str">
        <f t="shared" si="19"/>
        <v>fev</v>
      </c>
      <c r="D238" t="str">
        <f t="shared" si="20"/>
        <v>Fevereiro</v>
      </c>
      <c r="E238">
        <f t="shared" si="21"/>
        <v>15</v>
      </c>
      <c r="F238" t="s">
        <v>489</v>
      </c>
      <c r="G238" t="s">
        <v>496</v>
      </c>
      <c r="H238" t="str">
        <f t="shared" si="22"/>
        <v/>
      </c>
      <c r="I238" t="s">
        <v>530</v>
      </c>
      <c r="J238" s="4">
        <v>276</v>
      </c>
      <c r="K238" s="4">
        <f t="shared" si="23"/>
        <v>14643</v>
      </c>
    </row>
    <row r="239" spans="1:11" x14ac:dyDescent="0.25">
      <c r="A239" t="s">
        <v>188</v>
      </c>
      <c r="B239">
        <f t="shared" si="18"/>
        <v>2024</v>
      </c>
      <c r="C239" t="str">
        <f t="shared" si="19"/>
        <v>fev</v>
      </c>
      <c r="D239" t="str">
        <f t="shared" si="20"/>
        <v>Fevereiro</v>
      </c>
      <c r="E239">
        <f t="shared" si="21"/>
        <v>15</v>
      </c>
      <c r="F239" t="s">
        <v>489</v>
      </c>
      <c r="G239" t="s">
        <v>493</v>
      </c>
      <c r="H239" t="str">
        <f t="shared" si="22"/>
        <v/>
      </c>
      <c r="I239" t="s">
        <v>505</v>
      </c>
      <c r="J239" s="4">
        <v>1151</v>
      </c>
      <c r="K239" s="4">
        <f t="shared" si="23"/>
        <v>13492</v>
      </c>
    </row>
    <row r="240" spans="1:11" x14ac:dyDescent="0.25">
      <c r="A240" t="s">
        <v>189</v>
      </c>
      <c r="B240">
        <f t="shared" si="18"/>
        <v>2024</v>
      </c>
      <c r="C240" t="str">
        <f t="shared" si="19"/>
        <v>fev</v>
      </c>
      <c r="D240" t="str">
        <f t="shared" si="20"/>
        <v>Fevereiro</v>
      </c>
      <c r="E240">
        <f t="shared" si="21"/>
        <v>20</v>
      </c>
      <c r="F240" t="s">
        <v>489</v>
      </c>
      <c r="G240" t="s">
        <v>498</v>
      </c>
      <c r="H240" t="str">
        <f t="shared" si="22"/>
        <v/>
      </c>
      <c r="I240" t="s">
        <v>512</v>
      </c>
      <c r="J240" s="4">
        <v>350</v>
      </c>
      <c r="K240" s="4">
        <f t="shared" si="23"/>
        <v>13142</v>
      </c>
    </row>
    <row r="241" spans="1:11" x14ac:dyDescent="0.25">
      <c r="A241" t="s">
        <v>190</v>
      </c>
      <c r="B241">
        <f t="shared" si="18"/>
        <v>2024</v>
      </c>
      <c r="C241" t="str">
        <f t="shared" si="19"/>
        <v>fev</v>
      </c>
      <c r="D241" t="str">
        <f t="shared" si="20"/>
        <v>Fevereiro</v>
      </c>
      <c r="E241">
        <f t="shared" si="21"/>
        <v>21</v>
      </c>
      <c r="F241" t="s">
        <v>488</v>
      </c>
      <c r="G241" t="s">
        <v>495</v>
      </c>
      <c r="H241" t="str">
        <f t="shared" si="22"/>
        <v>Outras Receitas</v>
      </c>
      <c r="I241" t="s">
        <v>507</v>
      </c>
      <c r="J241" s="4">
        <v>560</v>
      </c>
      <c r="K241" s="4">
        <f t="shared" si="23"/>
        <v>13702</v>
      </c>
    </row>
    <row r="242" spans="1:11" x14ac:dyDescent="0.25">
      <c r="A242" t="s">
        <v>191</v>
      </c>
      <c r="B242">
        <f t="shared" si="18"/>
        <v>2024</v>
      </c>
      <c r="C242" t="str">
        <f t="shared" si="19"/>
        <v>fev</v>
      </c>
      <c r="D242" t="str">
        <f t="shared" si="20"/>
        <v>Fevereiro</v>
      </c>
      <c r="E242">
        <f t="shared" si="21"/>
        <v>22</v>
      </c>
      <c r="F242" t="s">
        <v>489</v>
      </c>
      <c r="G242" t="s">
        <v>497</v>
      </c>
      <c r="H242" t="str">
        <f t="shared" si="22"/>
        <v/>
      </c>
      <c r="I242" t="s">
        <v>520</v>
      </c>
      <c r="J242" s="4">
        <v>664</v>
      </c>
      <c r="K242" s="4">
        <f t="shared" si="23"/>
        <v>13038</v>
      </c>
    </row>
    <row r="243" spans="1:11" x14ac:dyDescent="0.25">
      <c r="A243" t="s">
        <v>192</v>
      </c>
      <c r="B243">
        <f t="shared" si="18"/>
        <v>2024</v>
      </c>
      <c r="C243" t="str">
        <f t="shared" si="19"/>
        <v>fev</v>
      </c>
      <c r="D243" t="str">
        <f t="shared" si="20"/>
        <v>Fevereiro</v>
      </c>
      <c r="E243">
        <f t="shared" si="21"/>
        <v>23</v>
      </c>
      <c r="F243" t="s">
        <v>489</v>
      </c>
      <c r="G243" t="s">
        <v>493</v>
      </c>
      <c r="H243" t="str">
        <f t="shared" si="22"/>
        <v/>
      </c>
      <c r="I243" t="s">
        <v>516</v>
      </c>
      <c r="J243" s="4">
        <v>224</v>
      </c>
      <c r="K243" s="4">
        <f t="shared" si="23"/>
        <v>12814</v>
      </c>
    </row>
    <row r="244" spans="1:11" x14ac:dyDescent="0.25">
      <c r="A244" t="s">
        <v>193</v>
      </c>
      <c r="B244">
        <f t="shared" si="18"/>
        <v>2024</v>
      </c>
      <c r="C244" t="str">
        <f t="shared" si="19"/>
        <v>fev</v>
      </c>
      <c r="D244" t="str">
        <f t="shared" si="20"/>
        <v>Fevereiro</v>
      </c>
      <c r="E244">
        <f t="shared" si="21"/>
        <v>24</v>
      </c>
      <c r="F244" t="s">
        <v>489</v>
      </c>
      <c r="G244" t="s">
        <v>498</v>
      </c>
      <c r="H244" t="str">
        <f t="shared" si="22"/>
        <v/>
      </c>
      <c r="I244" t="s">
        <v>513</v>
      </c>
      <c r="J244" s="4">
        <v>934</v>
      </c>
      <c r="K244" s="4">
        <f t="shared" si="23"/>
        <v>11880</v>
      </c>
    </row>
    <row r="245" spans="1:11" x14ac:dyDescent="0.25">
      <c r="A245" t="s">
        <v>193</v>
      </c>
      <c r="B245">
        <f t="shared" si="18"/>
        <v>2024</v>
      </c>
      <c r="C245" t="str">
        <f t="shared" si="19"/>
        <v>fev</v>
      </c>
      <c r="D245" t="str">
        <f t="shared" si="20"/>
        <v>Fevereiro</v>
      </c>
      <c r="E245">
        <f t="shared" si="21"/>
        <v>24</v>
      </c>
      <c r="F245" t="s">
        <v>489</v>
      </c>
      <c r="G245" t="s">
        <v>492</v>
      </c>
      <c r="H245" t="str">
        <f t="shared" si="22"/>
        <v/>
      </c>
      <c r="I245" t="s">
        <v>504</v>
      </c>
      <c r="J245" s="4">
        <v>2000</v>
      </c>
      <c r="K245" s="4">
        <f t="shared" si="23"/>
        <v>9880</v>
      </c>
    </row>
    <row r="246" spans="1:11" x14ac:dyDescent="0.25">
      <c r="A246" t="s">
        <v>193</v>
      </c>
      <c r="B246">
        <f t="shared" si="18"/>
        <v>2024</v>
      </c>
      <c r="C246" t="str">
        <f t="shared" si="19"/>
        <v>fev</v>
      </c>
      <c r="D246" t="str">
        <f t="shared" si="20"/>
        <v>Fevereiro</v>
      </c>
      <c r="E246">
        <f t="shared" si="21"/>
        <v>24</v>
      </c>
      <c r="F246" t="s">
        <v>489</v>
      </c>
      <c r="G246" t="s">
        <v>493</v>
      </c>
      <c r="H246" t="str">
        <f t="shared" si="22"/>
        <v/>
      </c>
      <c r="I246" t="s">
        <v>518</v>
      </c>
      <c r="J246" s="4">
        <v>536</v>
      </c>
      <c r="K246" s="4">
        <f t="shared" si="23"/>
        <v>9344</v>
      </c>
    </row>
    <row r="247" spans="1:11" x14ac:dyDescent="0.25">
      <c r="A247" t="s">
        <v>194</v>
      </c>
      <c r="B247">
        <f t="shared" si="18"/>
        <v>2024</v>
      </c>
      <c r="C247" t="str">
        <f t="shared" si="19"/>
        <v>fev</v>
      </c>
      <c r="D247" t="str">
        <f t="shared" si="20"/>
        <v>Fevereiro</v>
      </c>
      <c r="E247">
        <f t="shared" si="21"/>
        <v>28</v>
      </c>
      <c r="F247" t="s">
        <v>489</v>
      </c>
      <c r="G247" t="s">
        <v>496</v>
      </c>
      <c r="H247" t="str">
        <f t="shared" si="22"/>
        <v/>
      </c>
      <c r="I247" t="s">
        <v>509</v>
      </c>
      <c r="J247" s="4">
        <v>920</v>
      </c>
      <c r="K247" s="4">
        <f t="shared" si="23"/>
        <v>8424</v>
      </c>
    </row>
    <row r="248" spans="1:11" x14ac:dyDescent="0.25">
      <c r="A248" t="s">
        <v>195</v>
      </c>
      <c r="B248">
        <f t="shared" si="18"/>
        <v>2024</v>
      </c>
      <c r="C248" t="str">
        <f t="shared" si="19"/>
        <v>mar</v>
      </c>
      <c r="D248" t="str">
        <f t="shared" si="20"/>
        <v>Março</v>
      </c>
      <c r="E248">
        <f t="shared" si="21"/>
        <v>1</v>
      </c>
      <c r="F248" t="s">
        <v>488</v>
      </c>
      <c r="G248" t="s">
        <v>490</v>
      </c>
      <c r="H248" t="str">
        <f t="shared" si="22"/>
        <v>Salário</v>
      </c>
      <c r="I248" t="s">
        <v>500</v>
      </c>
      <c r="J248" s="4">
        <v>6961</v>
      </c>
      <c r="K248" s="4">
        <f t="shared" si="23"/>
        <v>15385</v>
      </c>
    </row>
    <row r="249" spans="1:11" x14ac:dyDescent="0.25">
      <c r="A249" t="s">
        <v>196</v>
      </c>
      <c r="B249">
        <f t="shared" si="18"/>
        <v>2024</v>
      </c>
      <c r="C249" t="str">
        <f t="shared" si="19"/>
        <v>mar</v>
      </c>
      <c r="D249" t="str">
        <f t="shared" si="20"/>
        <v>Março</v>
      </c>
      <c r="E249">
        <f t="shared" si="21"/>
        <v>2</v>
      </c>
      <c r="F249" t="s">
        <v>489</v>
      </c>
      <c r="G249" t="s">
        <v>493</v>
      </c>
      <c r="H249" t="str">
        <f t="shared" si="22"/>
        <v/>
      </c>
      <c r="I249" t="s">
        <v>505</v>
      </c>
      <c r="J249" s="4">
        <v>1198</v>
      </c>
      <c r="K249" s="4">
        <f t="shared" si="23"/>
        <v>14187</v>
      </c>
    </row>
    <row r="250" spans="1:11" x14ac:dyDescent="0.25">
      <c r="A250" t="s">
        <v>196</v>
      </c>
      <c r="B250">
        <f t="shared" ref="B250:B313" si="24">YEAR(A250)</f>
        <v>2024</v>
      </c>
      <c r="C250" t="str">
        <f t="shared" ref="C250:C313" si="25">TEXT(A250,"mmm")</f>
        <v>mar</v>
      </c>
      <c r="D250" t="str">
        <f t="shared" ref="D250:D313" si="26">PROPER(TEXT(A250,"Mmmm"))</f>
        <v>Março</v>
      </c>
      <c r="E250">
        <f t="shared" si="21"/>
        <v>2</v>
      </c>
      <c r="F250" t="s">
        <v>489</v>
      </c>
      <c r="G250" t="s">
        <v>493</v>
      </c>
      <c r="H250" t="str">
        <f t="shared" si="22"/>
        <v/>
      </c>
      <c r="I250" t="s">
        <v>518</v>
      </c>
      <c r="J250" s="4">
        <v>448</v>
      </c>
      <c r="K250" s="4">
        <f t="shared" si="23"/>
        <v>13739</v>
      </c>
    </row>
    <row r="251" spans="1:11" x14ac:dyDescent="0.25">
      <c r="A251" t="s">
        <v>197</v>
      </c>
      <c r="B251">
        <f t="shared" si="24"/>
        <v>2024</v>
      </c>
      <c r="C251" t="str">
        <f t="shared" si="25"/>
        <v>mar</v>
      </c>
      <c r="D251" t="str">
        <f t="shared" si="26"/>
        <v>Março</v>
      </c>
      <c r="E251">
        <f t="shared" si="21"/>
        <v>4</v>
      </c>
      <c r="F251" t="s">
        <v>489</v>
      </c>
      <c r="G251" t="s">
        <v>492</v>
      </c>
      <c r="H251" t="str">
        <f t="shared" si="22"/>
        <v/>
      </c>
      <c r="I251" t="s">
        <v>517</v>
      </c>
      <c r="J251" s="4">
        <v>244</v>
      </c>
      <c r="K251" s="4">
        <f t="shared" si="23"/>
        <v>13495</v>
      </c>
    </row>
    <row r="252" spans="1:11" x14ac:dyDescent="0.25">
      <c r="A252" t="s">
        <v>198</v>
      </c>
      <c r="B252">
        <f t="shared" si="24"/>
        <v>2024</v>
      </c>
      <c r="C252" t="str">
        <f t="shared" si="25"/>
        <v>mar</v>
      </c>
      <c r="D252" t="str">
        <f t="shared" si="26"/>
        <v>Março</v>
      </c>
      <c r="E252">
        <f t="shared" si="21"/>
        <v>9</v>
      </c>
      <c r="F252" t="s">
        <v>489</v>
      </c>
      <c r="G252" t="s">
        <v>492</v>
      </c>
      <c r="H252" t="str">
        <f t="shared" si="22"/>
        <v/>
      </c>
      <c r="I252" t="s">
        <v>503</v>
      </c>
      <c r="J252" s="4">
        <v>159</v>
      </c>
      <c r="K252" s="4">
        <f t="shared" si="23"/>
        <v>13336</v>
      </c>
    </row>
    <row r="253" spans="1:11" x14ac:dyDescent="0.25">
      <c r="A253" t="s">
        <v>199</v>
      </c>
      <c r="B253">
        <f t="shared" si="24"/>
        <v>2024</v>
      </c>
      <c r="C253" t="str">
        <f t="shared" si="25"/>
        <v>mar</v>
      </c>
      <c r="D253" t="str">
        <f t="shared" si="26"/>
        <v>Março</v>
      </c>
      <c r="E253">
        <f t="shared" si="21"/>
        <v>11</v>
      </c>
      <c r="F253" t="s">
        <v>489</v>
      </c>
      <c r="G253" t="s">
        <v>497</v>
      </c>
      <c r="H253" t="str">
        <f t="shared" si="22"/>
        <v/>
      </c>
      <c r="I253" t="s">
        <v>511</v>
      </c>
      <c r="J253" s="4">
        <v>250</v>
      </c>
      <c r="K253" s="4">
        <f t="shared" si="23"/>
        <v>13086</v>
      </c>
    </row>
    <row r="254" spans="1:11" x14ac:dyDescent="0.25">
      <c r="A254" t="s">
        <v>200</v>
      </c>
      <c r="B254">
        <f t="shared" si="24"/>
        <v>2024</v>
      </c>
      <c r="C254" t="str">
        <f t="shared" si="25"/>
        <v>mar</v>
      </c>
      <c r="D254" t="str">
        <f t="shared" si="26"/>
        <v>Março</v>
      </c>
      <c r="E254">
        <f t="shared" si="21"/>
        <v>12</v>
      </c>
      <c r="F254" t="s">
        <v>489</v>
      </c>
      <c r="G254" t="s">
        <v>493</v>
      </c>
      <c r="H254" t="str">
        <f t="shared" si="22"/>
        <v/>
      </c>
      <c r="I254" t="s">
        <v>516</v>
      </c>
      <c r="J254" s="4">
        <v>206</v>
      </c>
      <c r="K254" s="4">
        <f t="shared" si="23"/>
        <v>12880</v>
      </c>
    </row>
    <row r="255" spans="1:11" x14ac:dyDescent="0.25">
      <c r="A255" t="s">
        <v>201</v>
      </c>
      <c r="B255">
        <f t="shared" si="24"/>
        <v>2024</v>
      </c>
      <c r="C255" t="str">
        <f t="shared" si="25"/>
        <v>mar</v>
      </c>
      <c r="D255" t="str">
        <f t="shared" si="26"/>
        <v>Março</v>
      </c>
      <c r="E255">
        <f t="shared" si="21"/>
        <v>15</v>
      </c>
      <c r="F255" t="s">
        <v>489</v>
      </c>
      <c r="G255" t="s">
        <v>492</v>
      </c>
      <c r="H255" t="str">
        <f t="shared" si="22"/>
        <v/>
      </c>
      <c r="I255" t="s">
        <v>502</v>
      </c>
      <c r="J255" s="4">
        <v>209</v>
      </c>
      <c r="K255" s="4">
        <f t="shared" si="23"/>
        <v>12671</v>
      </c>
    </row>
    <row r="256" spans="1:11" x14ac:dyDescent="0.25">
      <c r="A256" t="s">
        <v>202</v>
      </c>
      <c r="B256">
        <f t="shared" si="24"/>
        <v>2024</v>
      </c>
      <c r="C256" t="str">
        <f t="shared" si="25"/>
        <v>mar</v>
      </c>
      <c r="D256" t="str">
        <f t="shared" si="26"/>
        <v>Março</v>
      </c>
      <c r="E256">
        <f t="shared" si="21"/>
        <v>16</v>
      </c>
      <c r="F256" t="s">
        <v>489</v>
      </c>
      <c r="G256" t="s">
        <v>498</v>
      </c>
      <c r="H256" t="str">
        <f t="shared" si="22"/>
        <v/>
      </c>
      <c r="I256" t="s">
        <v>513</v>
      </c>
      <c r="J256" s="4">
        <v>959</v>
      </c>
      <c r="K256" s="4">
        <f t="shared" si="23"/>
        <v>11712</v>
      </c>
    </row>
    <row r="257" spans="1:11" x14ac:dyDescent="0.25">
      <c r="A257" t="s">
        <v>202</v>
      </c>
      <c r="B257">
        <f t="shared" si="24"/>
        <v>2024</v>
      </c>
      <c r="C257" t="str">
        <f t="shared" si="25"/>
        <v>mar</v>
      </c>
      <c r="D257" t="str">
        <f t="shared" si="26"/>
        <v>Março</v>
      </c>
      <c r="E257">
        <f t="shared" si="21"/>
        <v>16</v>
      </c>
      <c r="F257" t="s">
        <v>489</v>
      </c>
      <c r="G257" t="s">
        <v>498</v>
      </c>
      <c r="H257" t="str">
        <f t="shared" si="22"/>
        <v/>
      </c>
      <c r="I257" t="s">
        <v>512</v>
      </c>
      <c r="J257" s="4">
        <v>331</v>
      </c>
      <c r="K257" s="4">
        <f t="shared" si="23"/>
        <v>11381</v>
      </c>
    </row>
    <row r="258" spans="1:11" x14ac:dyDescent="0.25">
      <c r="A258" t="s">
        <v>203</v>
      </c>
      <c r="B258">
        <f t="shared" si="24"/>
        <v>2024</v>
      </c>
      <c r="C258" t="str">
        <f t="shared" si="25"/>
        <v>mar</v>
      </c>
      <c r="D258" t="str">
        <f t="shared" si="26"/>
        <v>Março</v>
      </c>
      <c r="E258">
        <f t="shared" si="21"/>
        <v>17</v>
      </c>
      <c r="F258" t="s">
        <v>489</v>
      </c>
      <c r="G258" t="s">
        <v>496</v>
      </c>
      <c r="H258" t="str">
        <f t="shared" si="22"/>
        <v/>
      </c>
      <c r="I258" t="s">
        <v>515</v>
      </c>
      <c r="J258" s="4">
        <v>892</v>
      </c>
      <c r="K258" s="4">
        <f t="shared" si="23"/>
        <v>10489</v>
      </c>
    </row>
    <row r="259" spans="1:11" x14ac:dyDescent="0.25">
      <c r="A259" t="s">
        <v>203</v>
      </c>
      <c r="B259">
        <f t="shared" si="24"/>
        <v>2024</v>
      </c>
      <c r="C259" t="str">
        <f t="shared" si="25"/>
        <v>mar</v>
      </c>
      <c r="D259" t="str">
        <f t="shared" si="26"/>
        <v>Março</v>
      </c>
      <c r="E259">
        <f t="shared" ref="E259:E322" si="27">DAY(A259)</f>
        <v>17</v>
      </c>
      <c r="F259" t="s">
        <v>489</v>
      </c>
      <c r="G259" t="s">
        <v>492</v>
      </c>
      <c r="H259" t="str">
        <f t="shared" ref="H259:H322" si="28">IF(F259="Receita",IF(G259="Salário","Salário","Outras Receitas"),"")</f>
        <v/>
      </c>
      <c r="I259" t="s">
        <v>523</v>
      </c>
      <c r="J259" s="4">
        <v>815</v>
      </c>
      <c r="K259" s="4">
        <f t="shared" ref="K259:K322" si="29">IF(ROW()=2,J259,IF(F259="Receita",K258+J259,K258-J259))</f>
        <v>9674</v>
      </c>
    </row>
    <row r="260" spans="1:11" x14ac:dyDescent="0.25">
      <c r="A260" t="s">
        <v>204</v>
      </c>
      <c r="B260">
        <f t="shared" si="24"/>
        <v>2024</v>
      </c>
      <c r="C260" t="str">
        <f t="shared" si="25"/>
        <v>mar</v>
      </c>
      <c r="D260" t="str">
        <f t="shared" si="26"/>
        <v>Março</v>
      </c>
      <c r="E260">
        <f t="shared" si="27"/>
        <v>19</v>
      </c>
      <c r="F260" t="s">
        <v>489</v>
      </c>
      <c r="G260" t="s">
        <v>492</v>
      </c>
      <c r="H260" t="str">
        <f t="shared" si="28"/>
        <v/>
      </c>
      <c r="I260" t="s">
        <v>504</v>
      </c>
      <c r="J260" s="4">
        <v>2000</v>
      </c>
      <c r="K260" s="4">
        <f t="shared" si="29"/>
        <v>7674</v>
      </c>
    </row>
    <row r="261" spans="1:11" x14ac:dyDescent="0.25">
      <c r="A261" t="s">
        <v>205</v>
      </c>
      <c r="B261">
        <f t="shared" si="24"/>
        <v>2024</v>
      </c>
      <c r="C261" t="str">
        <f t="shared" si="25"/>
        <v>mar</v>
      </c>
      <c r="D261" t="str">
        <f t="shared" si="26"/>
        <v>Março</v>
      </c>
      <c r="E261">
        <f t="shared" si="27"/>
        <v>20</v>
      </c>
      <c r="F261" t="s">
        <v>489</v>
      </c>
      <c r="G261" t="s">
        <v>492</v>
      </c>
      <c r="H261" t="str">
        <f t="shared" si="28"/>
        <v/>
      </c>
      <c r="I261" t="s">
        <v>508</v>
      </c>
      <c r="J261" s="4">
        <v>276</v>
      </c>
      <c r="K261" s="4">
        <f t="shared" si="29"/>
        <v>7398</v>
      </c>
    </row>
    <row r="262" spans="1:11" x14ac:dyDescent="0.25">
      <c r="A262" t="s">
        <v>206</v>
      </c>
      <c r="B262">
        <f t="shared" si="24"/>
        <v>2024</v>
      </c>
      <c r="C262" t="str">
        <f t="shared" si="25"/>
        <v>mar</v>
      </c>
      <c r="D262" t="str">
        <f t="shared" si="26"/>
        <v>Março</v>
      </c>
      <c r="E262">
        <f t="shared" si="27"/>
        <v>21</v>
      </c>
      <c r="F262" t="s">
        <v>489</v>
      </c>
      <c r="G262" t="s">
        <v>493</v>
      </c>
      <c r="H262" t="str">
        <f t="shared" si="28"/>
        <v/>
      </c>
      <c r="I262" t="s">
        <v>505</v>
      </c>
      <c r="J262" s="4">
        <v>632</v>
      </c>
      <c r="K262" s="4">
        <f t="shared" si="29"/>
        <v>6766</v>
      </c>
    </row>
    <row r="263" spans="1:11" x14ac:dyDescent="0.25">
      <c r="A263" t="s">
        <v>207</v>
      </c>
      <c r="B263">
        <f t="shared" si="24"/>
        <v>2024</v>
      </c>
      <c r="C263" t="str">
        <f t="shared" si="25"/>
        <v>mar</v>
      </c>
      <c r="D263" t="str">
        <f t="shared" si="26"/>
        <v>Março</v>
      </c>
      <c r="E263">
        <f t="shared" si="27"/>
        <v>22</v>
      </c>
      <c r="F263" t="s">
        <v>488</v>
      </c>
      <c r="G263" t="s">
        <v>495</v>
      </c>
      <c r="H263" t="str">
        <f t="shared" si="28"/>
        <v>Outras Receitas</v>
      </c>
      <c r="I263" t="s">
        <v>507</v>
      </c>
      <c r="J263" s="4">
        <v>388</v>
      </c>
      <c r="K263" s="4">
        <f t="shared" si="29"/>
        <v>7154</v>
      </c>
    </row>
    <row r="264" spans="1:11" x14ac:dyDescent="0.25">
      <c r="A264" t="s">
        <v>208</v>
      </c>
      <c r="B264">
        <f t="shared" si="24"/>
        <v>2024</v>
      </c>
      <c r="C264" t="str">
        <f t="shared" si="25"/>
        <v>mar</v>
      </c>
      <c r="D264" t="str">
        <f t="shared" si="26"/>
        <v>Março</v>
      </c>
      <c r="E264">
        <f t="shared" si="27"/>
        <v>23</v>
      </c>
      <c r="F264" t="s">
        <v>489</v>
      </c>
      <c r="G264" t="s">
        <v>497</v>
      </c>
      <c r="H264" t="str">
        <f t="shared" si="28"/>
        <v/>
      </c>
      <c r="I264" t="s">
        <v>520</v>
      </c>
      <c r="J264" s="4">
        <v>683</v>
      </c>
      <c r="K264" s="4">
        <f t="shared" si="29"/>
        <v>6471</v>
      </c>
    </row>
    <row r="265" spans="1:11" x14ac:dyDescent="0.25">
      <c r="A265" t="s">
        <v>209</v>
      </c>
      <c r="B265">
        <f t="shared" si="24"/>
        <v>2024</v>
      </c>
      <c r="C265" t="str">
        <f t="shared" si="25"/>
        <v>mar</v>
      </c>
      <c r="D265" t="str">
        <f t="shared" si="26"/>
        <v>Março</v>
      </c>
      <c r="E265">
        <f t="shared" si="27"/>
        <v>25</v>
      </c>
      <c r="F265" t="s">
        <v>488</v>
      </c>
      <c r="G265" t="s">
        <v>491</v>
      </c>
      <c r="H265" t="str">
        <f t="shared" si="28"/>
        <v>Outras Receitas</v>
      </c>
      <c r="I265" t="s">
        <v>501</v>
      </c>
      <c r="J265" s="4">
        <v>1668</v>
      </c>
      <c r="K265" s="4">
        <f t="shared" si="29"/>
        <v>8139</v>
      </c>
    </row>
    <row r="266" spans="1:11" x14ac:dyDescent="0.25">
      <c r="A266" t="s">
        <v>210</v>
      </c>
      <c r="B266">
        <f t="shared" si="24"/>
        <v>2024</v>
      </c>
      <c r="C266" t="str">
        <f t="shared" si="25"/>
        <v>mar</v>
      </c>
      <c r="D266" t="str">
        <f t="shared" si="26"/>
        <v>Março</v>
      </c>
      <c r="E266">
        <f t="shared" si="27"/>
        <v>26</v>
      </c>
      <c r="F266" t="s">
        <v>489</v>
      </c>
      <c r="G266" t="s">
        <v>492</v>
      </c>
      <c r="H266" t="str">
        <f t="shared" si="28"/>
        <v/>
      </c>
      <c r="I266" t="s">
        <v>514</v>
      </c>
      <c r="J266" s="4">
        <v>896</v>
      </c>
      <c r="K266" s="4">
        <f t="shared" si="29"/>
        <v>7243</v>
      </c>
    </row>
    <row r="267" spans="1:11" x14ac:dyDescent="0.25">
      <c r="A267" t="s">
        <v>211</v>
      </c>
      <c r="B267">
        <f t="shared" si="24"/>
        <v>2024</v>
      </c>
      <c r="C267" t="str">
        <f t="shared" si="25"/>
        <v>mar</v>
      </c>
      <c r="D267" t="str">
        <f t="shared" si="26"/>
        <v>Março</v>
      </c>
      <c r="E267">
        <f t="shared" si="27"/>
        <v>27</v>
      </c>
      <c r="F267" t="s">
        <v>489</v>
      </c>
      <c r="G267" t="s">
        <v>497</v>
      </c>
      <c r="H267" t="str">
        <f t="shared" si="28"/>
        <v/>
      </c>
      <c r="I267" t="s">
        <v>524</v>
      </c>
      <c r="J267" s="4">
        <v>977</v>
      </c>
      <c r="K267" s="4">
        <f t="shared" si="29"/>
        <v>6266</v>
      </c>
    </row>
    <row r="268" spans="1:11" x14ac:dyDescent="0.25">
      <c r="A268" t="s">
        <v>212</v>
      </c>
      <c r="B268">
        <f t="shared" si="24"/>
        <v>2024</v>
      </c>
      <c r="C268" t="str">
        <f t="shared" si="25"/>
        <v>abr</v>
      </c>
      <c r="D268" t="str">
        <f t="shared" si="26"/>
        <v>Abril</v>
      </c>
      <c r="E268">
        <f t="shared" si="27"/>
        <v>1</v>
      </c>
      <c r="F268" t="s">
        <v>488</v>
      </c>
      <c r="G268" t="s">
        <v>490</v>
      </c>
      <c r="H268" t="str">
        <f t="shared" si="28"/>
        <v>Salário</v>
      </c>
      <c r="I268" t="s">
        <v>500</v>
      </c>
      <c r="J268" s="4">
        <v>6906</v>
      </c>
      <c r="K268" s="4">
        <f t="shared" si="29"/>
        <v>13172</v>
      </c>
    </row>
    <row r="269" spans="1:11" x14ac:dyDescent="0.25">
      <c r="A269" t="s">
        <v>213</v>
      </c>
      <c r="B269">
        <f t="shared" si="24"/>
        <v>2024</v>
      </c>
      <c r="C269" t="str">
        <f t="shared" si="25"/>
        <v>abr</v>
      </c>
      <c r="D269" t="str">
        <f t="shared" si="26"/>
        <v>Abril</v>
      </c>
      <c r="E269">
        <f t="shared" si="27"/>
        <v>5</v>
      </c>
      <c r="F269" t="s">
        <v>489</v>
      </c>
      <c r="G269" t="s">
        <v>492</v>
      </c>
      <c r="H269" t="str">
        <f t="shared" si="28"/>
        <v/>
      </c>
      <c r="I269" t="s">
        <v>502</v>
      </c>
      <c r="J269" s="4">
        <v>200</v>
      </c>
      <c r="K269" s="4">
        <f t="shared" si="29"/>
        <v>12972</v>
      </c>
    </row>
    <row r="270" spans="1:11" x14ac:dyDescent="0.25">
      <c r="A270" t="s">
        <v>214</v>
      </c>
      <c r="B270">
        <f t="shared" si="24"/>
        <v>2024</v>
      </c>
      <c r="C270" t="str">
        <f t="shared" si="25"/>
        <v>abr</v>
      </c>
      <c r="D270" t="str">
        <f t="shared" si="26"/>
        <v>Abril</v>
      </c>
      <c r="E270">
        <f t="shared" si="27"/>
        <v>8</v>
      </c>
      <c r="F270" t="s">
        <v>489</v>
      </c>
      <c r="G270" t="s">
        <v>498</v>
      </c>
      <c r="H270" t="str">
        <f t="shared" si="28"/>
        <v/>
      </c>
      <c r="I270" t="s">
        <v>513</v>
      </c>
      <c r="J270" s="4">
        <v>1231</v>
      </c>
      <c r="K270" s="4">
        <f t="shared" si="29"/>
        <v>11741</v>
      </c>
    </row>
    <row r="271" spans="1:11" x14ac:dyDescent="0.25">
      <c r="A271" t="s">
        <v>215</v>
      </c>
      <c r="B271">
        <f t="shared" si="24"/>
        <v>2024</v>
      </c>
      <c r="C271" t="str">
        <f t="shared" si="25"/>
        <v>abr</v>
      </c>
      <c r="D271" t="str">
        <f t="shared" si="26"/>
        <v>Abril</v>
      </c>
      <c r="E271">
        <f t="shared" si="27"/>
        <v>10</v>
      </c>
      <c r="F271" t="s">
        <v>489</v>
      </c>
      <c r="G271" t="s">
        <v>498</v>
      </c>
      <c r="H271" t="str">
        <f t="shared" si="28"/>
        <v/>
      </c>
      <c r="I271" t="s">
        <v>512</v>
      </c>
      <c r="J271" s="4">
        <v>356</v>
      </c>
      <c r="K271" s="4">
        <f t="shared" si="29"/>
        <v>11385</v>
      </c>
    </row>
    <row r="272" spans="1:11" x14ac:dyDescent="0.25">
      <c r="A272" t="s">
        <v>215</v>
      </c>
      <c r="B272">
        <f t="shared" si="24"/>
        <v>2024</v>
      </c>
      <c r="C272" t="str">
        <f t="shared" si="25"/>
        <v>abr</v>
      </c>
      <c r="D272" t="str">
        <f t="shared" si="26"/>
        <v>Abril</v>
      </c>
      <c r="E272">
        <f t="shared" si="27"/>
        <v>10</v>
      </c>
      <c r="F272" t="s">
        <v>489</v>
      </c>
      <c r="G272" t="s">
        <v>492</v>
      </c>
      <c r="H272" t="str">
        <f t="shared" si="28"/>
        <v/>
      </c>
      <c r="I272" t="s">
        <v>504</v>
      </c>
      <c r="J272" s="4">
        <v>2000</v>
      </c>
      <c r="K272" s="4">
        <f t="shared" si="29"/>
        <v>9385</v>
      </c>
    </row>
    <row r="273" spans="1:11" x14ac:dyDescent="0.25">
      <c r="A273" t="s">
        <v>216</v>
      </c>
      <c r="B273">
        <f t="shared" si="24"/>
        <v>2024</v>
      </c>
      <c r="C273" t="str">
        <f t="shared" si="25"/>
        <v>abr</v>
      </c>
      <c r="D273" t="str">
        <f t="shared" si="26"/>
        <v>Abril</v>
      </c>
      <c r="E273">
        <f t="shared" si="27"/>
        <v>11</v>
      </c>
      <c r="F273" t="s">
        <v>489</v>
      </c>
      <c r="G273" t="s">
        <v>493</v>
      </c>
      <c r="H273" t="str">
        <f t="shared" si="28"/>
        <v/>
      </c>
      <c r="I273" t="s">
        <v>518</v>
      </c>
      <c r="J273" s="4">
        <v>601</v>
      </c>
      <c r="K273" s="4">
        <f t="shared" si="29"/>
        <v>8784</v>
      </c>
    </row>
    <row r="274" spans="1:11" x14ac:dyDescent="0.25">
      <c r="A274" t="s">
        <v>216</v>
      </c>
      <c r="B274">
        <f t="shared" si="24"/>
        <v>2024</v>
      </c>
      <c r="C274" t="str">
        <f t="shared" si="25"/>
        <v>abr</v>
      </c>
      <c r="D274" t="str">
        <f t="shared" si="26"/>
        <v>Abril</v>
      </c>
      <c r="E274">
        <f t="shared" si="27"/>
        <v>11</v>
      </c>
      <c r="F274" t="s">
        <v>489</v>
      </c>
      <c r="G274" t="s">
        <v>492</v>
      </c>
      <c r="H274" t="str">
        <f t="shared" si="28"/>
        <v/>
      </c>
      <c r="I274" t="s">
        <v>514</v>
      </c>
      <c r="J274" s="4">
        <v>833</v>
      </c>
      <c r="K274" s="4">
        <f t="shared" si="29"/>
        <v>7951</v>
      </c>
    </row>
    <row r="275" spans="1:11" x14ac:dyDescent="0.25">
      <c r="A275" t="s">
        <v>217</v>
      </c>
      <c r="B275">
        <f t="shared" si="24"/>
        <v>2024</v>
      </c>
      <c r="C275" t="str">
        <f t="shared" si="25"/>
        <v>abr</v>
      </c>
      <c r="D275" t="str">
        <f t="shared" si="26"/>
        <v>Abril</v>
      </c>
      <c r="E275">
        <f t="shared" si="27"/>
        <v>12</v>
      </c>
      <c r="F275" t="s">
        <v>489</v>
      </c>
      <c r="G275" t="s">
        <v>492</v>
      </c>
      <c r="H275" t="str">
        <f t="shared" si="28"/>
        <v/>
      </c>
      <c r="I275" t="s">
        <v>508</v>
      </c>
      <c r="J275" s="4">
        <v>247</v>
      </c>
      <c r="K275" s="4">
        <f t="shared" si="29"/>
        <v>7704</v>
      </c>
    </row>
    <row r="276" spans="1:11" x14ac:dyDescent="0.25">
      <c r="A276" t="s">
        <v>217</v>
      </c>
      <c r="B276">
        <f t="shared" si="24"/>
        <v>2024</v>
      </c>
      <c r="C276" t="str">
        <f t="shared" si="25"/>
        <v>abr</v>
      </c>
      <c r="D276" t="str">
        <f t="shared" si="26"/>
        <v>Abril</v>
      </c>
      <c r="E276">
        <f t="shared" si="27"/>
        <v>12</v>
      </c>
      <c r="F276" t="s">
        <v>488</v>
      </c>
      <c r="G276" t="s">
        <v>495</v>
      </c>
      <c r="H276" t="str">
        <f t="shared" si="28"/>
        <v>Outras Receitas</v>
      </c>
      <c r="I276" t="s">
        <v>507</v>
      </c>
      <c r="J276" s="4">
        <v>430</v>
      </c>
      <c r="K276" s="4">
        <f t="shared" si="29"/>
        <v>8134</v>
      </c>
    </row>
    <row r="277" spans="1:11" x14ac:dyDescent="0.25">
      <c r="A277" t="s">
        <v>218</v>
      </c>
      <c r="B277">
        <f t="shared" si="24"/>
        <v>2024</v>
      </c>
      <c r="C277" t="str">
        <f t="shared" si="25"/>
        <v>abr</v>
      </c>
      <c r="D277" t="str">
        <f t="shared" si="26"/>
        <v>Abril</v>
      </c>
      <c r="E277">
        <f t="shared" si="27"/>
        <v>17</v>
      </c>
      <c r="F277" t="s">
        <v>489</v>
      </c>
      <c r="G277" t="s">
        <v>498</v>
      </c>
      <c r="H277" t="str">
        <f t="shared" si="28"/>
        <v/>
      </c>
      <c r="I277" t="s">
        <v>527</v>
      </c>
      <c r="J277" s="4">
        <v>1021</v>
      </c>
      <c r="K277" s="4">
        <f t="shared" si="29"/>
        <v>7113</v>
      </c>
    </row>
    <row r="278" spans="1:11" x14ac:dyDescent="0.25">
      <c r="A278" t="s">
        <v>219</v>
      </c>
      <c r="B278">
        <f t="shared" si="24"/>
        <v>2024</v>
      </c>
      <c r="C278" t="str">
        <f t="shared" si="25"/>
        <v>abr</v>
      </c>
      <c r="D278" t="str">
        <f t="shared" si="26"/>
        <v>Abril</v>
      </c>
      <c r="E278">
        <f t="shared" si="27"/>
        <v>19</v>
      </c>
      <c r="F278" t="s">
        <v>489</v>
      </c>
      <c r="G278" t="s">
        <v>492</v>
      </c>
      <c r="H278" t="str">
        <f t="shared" si="28"/>
        <v/>
      </c>
      <c r="I278" t="s">
        <v>503</v>
      </c>
      <c r="J278" s="4">
        <v>165</v>
      </c>
      <c r="K278" s="4">
        <f t="shared" si="29"/>
        <v>6948</v>
      </c>
    </row>
    <row r="279" spans="1:11" x14ac:dyDescent="0.25">
      <c r="A279" t="s">
        <v>220</v>
      </c>
      <c r="B279">
        <f t="shared" si="24"/>
        <v>2024</v>
      </c>
      <c r="C279" t="str">
        <f t="shared" si="25"/>
        <v>abr</v>
      </c>
      <c r="D279" t="str">
        <f t="shared" si="26"/>
        <v>Abril</v>
      </c>
      <c r="E279">
        <f t="shared" si="27"/>
        <v>24</v>
      </c>
      <c r="F279" t="s">
        <v>489</v>
      </c>
      <c r="G279" t="s">
        <v>496</v>
      </c>
      <c r="H279" t="str">
        <f t="shared" si="28"/>
        <v/>
      </c>
      <c r="I279" t="s">
        <v>515</v>
      </c>
      <c r="J279" s="4">
        <v>658</v>
      </c>
      <c r="K279" s="4">
        <f t="shared" si="29"/>
        <v>6290</v>
      </c>
    </row>
    <row r="280" spans="1:11" x14ac:dyDescent="0.25">
      <c r="A280" t="s">
        <v>220</v>
      </c>
      <c r="B280">
        <f t="shared" si="24"/>
        <v>2024</v>
      </c>
      <c r="C280" t="str">
        <f t="shared" si="25"/>
        <v>abr</v>
      </c>
      <c r="D280" t="str">
        <f t="shared" si="26"/>
        <v>Abril</v>
      </c>
      <c r="E280">
        <f t="shared" si="27"/>
        <v>24</v>
      </c>
      <c r="F280" t="s">
        <v>489</v>
      </c>
      <c r="G280" t="s">
        <v>493</v>
      </c>
      <c r="H280" t="str">
        <f t="shared" si="28"/>
        <v/>
      </c>
      <c r="I280" t="s">
        <v>505</v>
      </c>
      <c r="J280" s="4">
        <v>88</v>
      </c>
      <c r="K280" s="4">
        <f t="shared" si="29"/>
        <v>6202</v>
      </c>
    </row>
    <row r="281" spans="1:11" x14ac:dyDescent="0.25">
      <c r="A281" t="s">
        <v>220</v>
      </c>
      <c r="B281">
        <f t="shared" si="24"/>
        <v>2024</v>
      </c>
      <c r="C281" t="str">
        <f t="shared" si="25"/>
        <v>abr</v>
      </c>
      <c r="D281" t="str">
        <f t="shared" si="26"/>
        <v>Abril</v>
      </c>
      <c r="E281">
        <f t="shared" si="27"/>
        <v>24</v>
      </c>
      <c r="F281" t="s">
        <v>489</v>
      </c>
      <c r="G281" t="s">
        <v>492</v>
      </c>
      <c r="H281" t="str">
        <f t="shared" si="28"/>
        <v/>
      </c>
      <c r="I281" t="s">
        <v>517</v>
      </c>
      <c r="J281" s="4">
        <v>242</v>
      </c>
      <c r="K281" s="4">
        <f t="shared" si="29"/>
        <v>5960</v>
      </c>
    </row>
    <row r="282" spans="1:11" x14ac:dyDescent="0.25">
      <c r="A282" t="s">
        <v>221</v>
      </c>
      <c r="B282">
        <f t="shared" si="24"/>
        <v>2024</v>
      </c>
      <c r="C282" t="str">
        <f t="shared" si="25"/>
        <v>abr</v>
      </c>
      <c r="D282" t="str">
        <f t="shared" si="26"/>
        <v>Abril</v>
      </c>
      <c r="E282">
        <f t="shared" si="27"/>
        <v>25</v>
      </c>
      <c r="F282" t="s">
        <v>488</v>
      </c>
      <c r="G282" t="s">
        <v>491</v>
      </c>
      <c r="H282" t="str">
        <f t="shared" si="28"/>
        <v>Outras Receitas</v>
      </c>
      <c r="I282" t="s">
        <v>501</v>
      </c>
      <c r="J282" s="4">
        <v>1727</v>
      </c>
      <c r="K282" s="4">
        <f t="shared" si="29"/>
        <v>7687</v>
      </c>
    </row>
    <row r="283" spans="1:11" x14ac:dyDescent="0.25">
      <c r="A283" t="s">
        <v>222</v>
      </c>
      <c r="B283">
        <f t="shared" si="24"/>
        <v>2024</v>
      </c>
      <c r="C283" t="str">
        <f t="shared" si="25"/>
        <v>abr</v>
      </c>
      <c r="D283" t="str">
        <f t="shared" si="26"/>
        <v>Abril</v>
      </c>
      <c r="E283">
        <f t="shared" si="27"/>
        <v>26</v>
      </c>
      <c r="F283" t="s">
        <v>489</v>
      </c>
      <c r="G283" t="s">
        <v>497</v>
      </c>
      <c r="H283" t="str">
        <f t="shared" si="28"/>
        <v/>
      </c>
      <c r="I283" t="s">
        <v>520</v>
      </c>
      <c r="J283" s="4">
        <v>703</v>
      </c>
      <c r="K283" s="4">
        <f t="shared" si="29"/>
        <v>6984</v>
      </c>
    </row>
    <row r="284" spans="1:11" x14ac:dyDescent="0.25">
      <c r="A284" t="s">
        <v>223</v>
      </c>
      <c r="B284">
        <f t="shared" si="24"/>
        <v>2024</v>
      </c>
      <c r="C284" t="str">
        <f t="shared" si="25"/>
        <v>abr</v>
      </c>
      <c r="D284" t="str">
        <f t="shared" si="26"/>
        <v>Abril</v>
      </c>
      <c r="E284">
        <f t="shared" si="27"/>
        <v>28</v>
      </c>
      <c r="F284" t="s">
        <v>489</v>
      </c>
      <c r="G284" t="s">
        <v>493</v>
      </c>
      <c r="H284" t="str">
        <f t="shared" si="28"/>
        <v/>
      </c>
      <c r="I284" t="s">
        <v>516</v>
      </c>
      <c r="J284" s="4">
        <v>207</v>
      </c>
      <c r="K284" s="4">
        <f t="shared" si="29"/>
        <v>6777</v>
      </c>
    </row>
    <row r="285" spans="1:11" x14ac:dyDescent="0.25">
      <c r="A285" t="s">
        <v>224</v>
      </c>
      <c r="B285">
        <f t="shared" si="24"/>
        <v>2024</v>
      </c>
      <c r="C285" t="str">
        <f t="shared" si="25"/>
        <v>mai</v>
      </c>
      <c r="D285" t="str">
        <f t="shared" si="26"/>
        <v>Maio</v>
      </c>
      <c r="E285">
        <f t="shared" si="27"/>
        <v>1</v>
      </c>
      <c r="F285" t="s">
        <v>488</v>
      </c>
      <c r="G285" t="s">
        <v>490</v>
      </c>
      <c r="H285" t="str">
        <f t="shared" si="28"/>
        <v>Salário</v>
      </c>
      <c r="I285" t="s">
        <v>500</v>
      </c>
      <c r="J285" s="4">
        <v>6964</v>
      </c>
      <c r="K285" s="4">
        <f t="shared" si="29"/>
        <v>13741</v>
      </c>
    </row>
    <row r="286" spans="1:11" x14ac:dyDescent="0.25">
      <c r="A286" t="s">
        <v>225</v>
      </c>
      <c r="B286">
        <f t="shared" si="24"/>
        <v>2024</v>
      </c>
      <c r="C286" t="str">
        <f t="shared" si="25"/>
        <v>mai</v>
      </c>
      <c r="D286" t="str">
        <f t="shared" si="26"/>
        <v>Maio</v>
      </c>
      <c r="E286">
        <f t="shared" si="27"/>
        <v>4</v>
      </c>
      <c r="F286" t="s">
        <v>489</v>
      </c>
      <c r="G286" t="s">
        <v>492</v>
      </c>
      <c r="H286" t="str">
        <f t="shared" si="28"/>
        <v/>
      </c>
      <c r="I286" t="s">
        <v>502</v>
      </c>
      <c r="J286" s="4">
        <v>187</v>
      </c>
      <c r="K286" s="4">
        <f t="shared" si="29"/>
        <v>13554</v>
      </c>
    </row>
    <row r="287" spans="1:11" x14ac:dyDescent="0.25">
      <c r="A287" t="s">
        <v>225</v>
      </c>
      <c r="B287">
        <f t="shared" si="24"/>
        <v>2024</v>
      </c>
      <c r="C287" t="str">
        <f t="shared" si="25"/>
        <v>mai</v>
      </c>
      <c r="D287" t="str">
        <f t="shared" si="26"/>
        <v>Maio</v>
      </c>
      <c r="E287">
        <f t="shared" si="27"/>
        <v>4</v>
      </c>
      <c r="F287" t="s">
        <v>489</v>
      </c>
      <c r="G287" t="s">
        <v>492</v>
      </c>
      <c r="H287" t="str">
        <f t="shared" si="28"/>
        <v/>
      </c>
      <c r="I287" t="s">
        <v>514</v>
      </c>
      <c r="J287" s="4">
        <v>873</v>
      </c>
      <c r="K287" s="4">
        <f t="shared" si="29"/>
        <v>12681</v>
      </c>
    </row>
    <row r="288" spans="1:11" x14ac:dyDescent="0.25">
      <c r="A288" t="s">
        <v>226</v>
      </c>
      <c r="B288">
        <f t="shared" si="24"/>
        <v>2024</v>
      </c>
      <c r="C288" t="str">
        <f t="shared" si="25"/>
        <v>mai</v>
      </c>
      <c r="D288" t="str">
        <f t="shared" si="26"/>
        <v>Maio</v>
      </c>
      <c r="E288">
        <f t="shared" si="27"/>
        <v>6</v>
      </c>
      <c r="F288" t="s">
        <v>489</v>
      </c>
      <c r="G288" t="s">
        <v>492</v>
      </c>
      <c r="H288" t="str">
        <f t="shared" si="28"/>
        <v/>
      </c>
      <c r="I288" t="s">
        <v>503</v>
      </c>
      <c r="J288" s="4">
        <v>157</v>
      </c>
      <c r="K288" s="4">
        <f t="shared" si="29"/>
        <v>12524</v>
      </c>
    </row>
    <row r="289" spans="1:11" x14ac:dyDescent="0.25">
      <c r="A289" t="s">
        <v>227</v>
      </c>
      <c r="B289">
        <f t="shared" si="24"/>
        <v>2024</v>
      </c>
      <c r="C289" t="str">
        <f t="shared" si="25"/>
        <v>mai</v>
      </c>
      <c r="D289" t="str">
        <f t="shared" si="26"/>
        <v>Maio</v>
      </c>
      <c r="E289">
        <f t="shared" si="27"/>
        <v>7</v>
      </c>
      <c r="F289" t="s">
        <v>489</v>
      </c>
      <c r="G289" t="s">
        <v>497</v>
      </c>
      <c r="H289" t="str">
        <f t="shared" si="28"/>
        <v/>
      </c>
      <c r="I289" t="s">
        <v>524</v>
      </c>
      <c r="J289" s="4">
        <v>226</v>
      </c>
      <c r="K289" s="4">
        <f t="shared" si="29"/>
        <v>12298</v>
      </c>
    </row>
    <row r="290" spans="1:11" x14ac:dyDescent="0.25">
      <c r="A290" t="s">
        <v>227</v>
      </c>
      <c r="B290">
        <f t="shared" si="24"/>
        <v>2024</v>
      </c>
      <c r="C290" t="str">
        <f t="shared" si="25"/>
        <v>mai</v>
      </c>
      <c r="D290" t="str">
        <f t="shared" si="26"/>
        <v>Maio</v>
      </c>
      <c r="E290">
        <f t="shared" si="27"/>
        <v>7</v>
      </c>
      <c r="F290" t="s">
        <v>488</v>
      </c>
      <c r="G290" t="s">
        <v>491</v>
      </c>
      <c r="H290" t="str">
        <f t="shared" si="28"/>
        <v>Outras Receitas</v>
      </c>
      <c r="I290" t="s">
        <v>501</v>
      </c>
      <c r="J290" s="4">
        <v>705</v>
      </c>
      <c r="K290" s="4">
        <f t="shared" si="29"/>
        <v>13003</v>
      </c>
    </row>
    <row r="291" spans="1:11" x14ac:dyDescent="0.25">
      <c r="A291" t="s">
        <v>228</v>
      </c>
      <c r="B291">
        <f t="shared" si="24"/>
        <v>2024</v>
      </c>
      <c r="C291" t="str">
        <f t="shared" si="25"/>
        <v>mai</v>
      </c>
      <c r="D291" t="str">
        <f t="shared" si="26"/>
        <v>Maio</v>
      </c>
      <c r="E291">
        <f t="shared" si="27"/>
        <v>9</v>
      </c>
      <c r="F291" t="s">
        <v>489</v>
      </c>
      <c r="G291" t="s">
        <v>498</v>
      </c>
      <c r="H291" t="str">
        <f t="shared" si="28"/>
        <v/>
      </c>
      <c r="I291" t="s">
        <v>513</v>
      </c>
      <c r="J291" s="4">
        <v>890</v>
      </c>
      <c r="K291" s="4">
        <f t="shared" si="29"/>
        <v>12113</v>
      </c>
    </row>
    <row r="292" spans="1:11" x14ac:dyDescent="0.25">
      <c r="A292" t="s">
        <v>228</v>
      </c>
      <c r="B292">
        <f t="shared" si="24"/>
        <v>2024</v>
      </c>
      <c r="C292" t="str">
        <f t="shared" si="25"/>
        <v>mai</v>
      </c>
      <c r="D292" t="str">
        <f t="shared" si="26"/>
        <v>Maio</v>
      </c>
      <c r="E292">
        <f t="shared" si="27"/>
        <v>9</v>
      </c>
      <c r="F292" t="s">
        <v>489</v>
      </c>
      <c r="G292" t="s">
        <v>493</v>
      </c>
      <c r="H292" t="str">
        <f t="shared" si="28"/>
        <v/>
      </c>
      <c r="I292" t="s">
        <v>518</v>
      </c>
      <c r="J292" s="4">
        <v>537</v>
      </c>
      <c r="K292" s="4">
        <f t="shared" si="29"/>
        <v>11576</v>
      </c>
    </row>
    <row r="293" spans="1:11" x14ac:dyDescent="0.25">
      <c r="A293" t="s">
        <v>229</v>
      </c>
      <c r="B293">
        <f t="shared" si="24"/>
        <v>2024</v>
      </c>
      <c r="C293" t="str">
        <f t="shared" si="25"/>
        <v>mai</v>
      </c>
      <c r="D293" t="str">
        <f t="shared" si="26"/>
        <v>Maio</v>
      </c>
      <c r="E293">
        <f t="shared" si="27"/>
        <v>10</v>
      </c>
      <c r="F293" t="s">
        <v>488</v>
      </c>
      <c r="G293" t="s">
        <v>495</v>
      </c>
      <c r="H293" t="str">
        <f t="shared" si="28"/>
        <v>Outras Receitas</v>
      </c>
      <c r="I293" t="s">
        <v>507</v>
      </c>
      <c r="J293" s="4">
        <v>691</v>
      </c>
      <c r="K293" s="4">
        <f t="shared" si="29"/>
        <v>12267</v>
      </c>
    </row>
    <row r="294" spans="1:11" x14ac:dyDescent="0.25">
      <c r="A294" t="s">
        <v>230</v>
      </c>
      <c r="B294">
        <f t="shared" si="24"/>
        <v>2024</v>
      </c>
      <c r="C294" t="str">
        <f t="shared" si="25"/>
        <v>mai</v>
      </c>
      <c r="D294" t="str">
        <f t="shared" si="26"/>
        <v>Maio</v>
      </c>
      <c r="E294">
        <f t="shared" si="27"/>
        <v>11</v>
      </c>
      <c r="F294" t="s">
        <v>489</v>
      </c>
      <c r="G294" t="s">
        <v>492</v>
      </c>
      <c r="H294" t="str">
        <f t="shared" si="28"/>
        <v/>
      </c>
      <c r="I294" t="s">
        <v>517</v>
      </c>
      <c r="J294" s="4">
        <v>240</v>
      </c>
      <c r="K294" s="4">
        <f t="shared" si="29"/>
        <v>12027</v>
      </c>
    </row>
    <row r="295" spans="1:11" x14ac:dyDescent="0.25">
      <c r="A295" t="s">
        <v>231</v>
      </c>
      <c r="B295">
        <f t="shared" si="24"/>
        <v>2024</v>
      </c>
      <c r="C295" t="str">
        <f t="shared" si="25"/>
        <v>mai</v>
      </c>
      <c r="D295" t="str">
        <f t="shared" si="26"/>
        <v>Maio</v>
      </c>
      <c r="E295">
        <f t="shared" si="27"/>
        <v>14</v>
      </c>
      <c r="F295" t="s">
        <v>489</v>
      </c>
      <c r="G295" t="s">
        <v>493</v>
      </c>
      <c r="H295" t="str">
        <f t="shared" si="28"/>
        <v/>
      </c>
      <c r="I295" t="s">
        <v>516</v>
      </c>
      <c r="J295" s="4">
        <v>218</v>
      </c>
      <c r="K295" s="4">
        <f t="shared" si="29"/>
        <v>11809</v>
      </c>
    </row>
    <row r="296" spans="1:11" x14ac:dyDescent="0.25">
      <c r="A296" t="s">
        <v>232</v>
      </c>
      <c r="B296">
        <f t="shared" si="24"/>
        <v>2024</v>
      </c>
      <c r="C296" t="str">
        <f t="shared" si="25"/>
        <v>mai</v>
      </c>
      <c r="D296" t="str">
        <f t="shared" si="26"/>
        <v>Maio</v>
      </c>
      <c r="E296">
        <f t="shared" si="27"/>
        <v>15</v>
      </c>
      <c r="F296" t="s">
        <v>489</v>
      </c>
      <c r="G296" t="s">
        <v>492</v>
      </c>
      <c r="H296" t="str">
        <f t="shared" si="28"/>
        <v/>
      </c>
      <c r="I296" t="s">
        <v>510</v>
      </c>
      <c r="J296" s="4">
        <v>65</v>
      </c>
      <c r="K296" s="4">
        <f t="shared" si="29"/>
        <v>11744</v>
      </c>
    </row>
    <row r="297" spans="1:11" x14ac:dyDescent="0.25">
      <c r="A297" t="s">
        <v>233</v>
      </c>
      <c r="B297">
        <f t="shared" si="24"/>
        <v>2024</v>
      </c>
      <c r="C297" t="str">
        <f t="shared" si="25"/>
        <v>mai</v>
      </c>
      <c r="D297" t="str">
        <f t="shared" si="26"/>
        <v>Maio</v>
      </c>
      <c r="E297">
        <f t="shared" si="27"/>
        <v>21</v>
      </c>
      <c r="F297" t="s">
        <v>489</v>
      </c>
      <c r="G297" t="s">
        <v>497</v>
      </c>
      <c r="H297" t="str">
        <f t="shared" si="28"/>
        <v/>
      </c>
      <c r="I297" t="s">
        <v>520</v>
      </c>
      <c r="J297" s="4">
        <v>741</v>
      </c>
      <c r="K297" s="4">
        <f t="shared" si="29"/>
        <v>11003</v>
      </c>
    </row>
    <row r="298" spans="1:11" x14ac:dyDescent="0.25">
      <c r="A298" t="s">
        <v>234</v>
      </c>
      <c r="B298">
        <f t="shared" si="24"/>
        <v>2024</v>
      </c>
      <c r="C298" t="str">
        <f t="shared" si="25"/>
        <v>mai</v>
      </c>
      <c r="D298" t="str">
        <f t="shared" si="26"/>
        <v>Maio</v>
      </c>
      <c r="E298">
        <f t="shared" si="27"/>
        <v>23</v>
      </c>
      <c r="F298" t="s">
        <v>489</v>
      </c>
      <c r="G298" t="s">
        <v>492</v>
      </c>
      <c r="H298" t="str">
        <f t="shared" si="28"/>
        <v/>
      </c>
      <c r="I298" t="s">
        <v>508</v>
      </c>
      <c r="J298" s="4">
        <v>234</v>
      </c>
      <c r="K298" s="4">
        <f t="shared" si="29"/>
        <v>10769</v>
      </c>
    </row>
    <row r="299" spans="1:11" x14ac:dyDescent="0.25">
      <c r="A299" t="s">
        <v>235</v>
      </c>
      <c r="B299">
        <f t="shared" si="24"/>
        <v>2024</v>
      </c>
      <c r="C299" t="str">
        <f t="shared" si="25"/>
        <v>mai</v>
      </c>
      <c r="D299" t="str">
        <f t="shared" si="26"/>
        <v>Maio</v>
      </c>
      <c r="E299">
        <f t="shared" si="27"/>
        <v>26</v>
      </c>
      <c r="F299" t="s">
        <v>489</v>
      </c>
      <c r="G299" t="s">
        <v>498</v>
      </c>
      <c r="H299" t="str">
        <f t="shared" si="28"/>
        <v/>
      </c>
      <c r="I299" t="s">
        <v>512</v>
      </c>
      <c r="J299" s="4">
        <v>307</v>
      </c>
      <c r="K299" s="4">
        <f t="shared" si="29"/>
        <v>10462</v>
      </c>
    </row>
    <row r="300" spans="1:11" x14ac:dyDescent="0.25">
      <c r="A300" t="s">
        <v>235</v>
      </c>
      <c r="B300">
        <f t="shared" si="24"/>
        <v>2024</v>
      </c>
      <c r="C300" t="str">
        <f t="shared" si="25"/>
        <v>mai</v>
      </c>
      <c r="D300" t="str">
        <f t="shared" si="26"/>
        <v>Maio</v>
      </c>
      <c r="E300">
        <f t="shared" si="27"/>
        <v>26</v>
      </c>
      <c r="F300" t="s">
        <v>489</v>
      </c>
      <c r="G300" t="s">
        <v>499</v>
      </c>
      <c r="H300" t="str">
        <f t="shared" si="28"/>
        <v/>
      </c>
      <c r="I300" t="s">
        <v>531</v>
      </c>
      <c r="J300" s="4">
        <v>263</v>
      </c>
      <c r="K300" s="4">
        <f t="shared" si="29"/>
        <v>10199</v>
      </c>
    </row>
    <row r="301" spans="1:11" x14ac:dyDescent="0.25">
      <c r="A301" t="s">
        <v>236</v>
      </c>
      <c r="B301">
        <f t="shared" si="24"/>
        <v>2024</v>
      </c>
      <c r="C301" t="str">
        <f t="shared" si="25"/>
        <v>mai</v>
      </c>
      <c r="D301" t="str">
        <f t="shared" si="26"/>
        <v>Maio</v>
      </c>
      <c r="E301">
        <f t="shared" si="27"/>
        <v>28</v>
      </c>
      <c r="F301" t="s">
        <v>489</v>
      </c>
      <c r="G301" t="s">
        <v>492</v>
      </c>
      <c r="H301" t="str">
        <f t="shared" si="28"/>
        <v/>
      </c>
      <c r="I301" t="s">
        <v>504</v>
      </c>
      <c r="J301" s="4">
        <v>2000</v>
      </c>
      <c r="K301" s="4">
        <f t="shared" si="29"/>
        <v>8199</v>
      </c>
    </row>
    <row r="302" spans="1:11" x14ac:dyDescent="0.25">
      <c r="A302" t="s">
        <v>237</v>
      </c>
      <c r="B302">
        <f t="shared" si="24"/>
        <v>2024</v>
      </c>
      <c r="C302" t="str">
        <f t="shared" si="25"/>
        <v>jun</v>
      </c>
      <c r="D302" t="str">
        <f t="shared" si="26"/>
        <v>Junho</v>
      </c>
      <c r="E302">
        <f t="shared" si="27"/>
        <v>1</v>
      </c>
      <c r="F302" t="s">
        <v>488</v>
      </c>
      <c r="G302" t="s">
        <v>490</v>
      </c>
      <c r="H302" t="str">
        <f t="shared" si="28"/>
        <v>Salário</v>
      </c>
      <c r="I302" t="s">
        <v>500</v>
      </c>
      <c r="J302" s="4">
        <v>7056</v>
      </c>
      <c r="K302" s="4">
        <f t="shared" si="29"/>
        <v>15255</v>
      </c>
    </row>
    <row r="303" spans="1:11" x14ac:dyDescent="0.25">
      <c r="A303" t="s">
        <v>238</v>
      </c>
      <c r="B303">
        <f t="shared" si="24"/>
        <v>2024</v>
      </c>
      <c r="C303" t="str">
        <f t="shared" si="25"/>
        <v>jun</v>
      </c>
      <c r="D303" t="str">
        <f t="shared" si="26"/>
        <v>Junho</v>
      </c>
      <c r="E303">
        <f t="shared" si="27"/>
        <v>3</v>
      </c>
      <c r="F303" t="s">
        <v>489</v>
      </c>
      <c r="G303" t="s">
        <v>493</v>
      </c>
      <c r="H303" t="str">
        <f t="shared" si="28"/>
        <v/>
      </c>
      <c r="I303" t="s">
        <v>518</v>
      </c>
      <c r="J303" s="4">
        <v>345</v>
      </c>
      <c r="K303" s="4">
        <f t="shared" si="29"/>
        <v>14910</v>
      </c>
    </row>
    <row r="304" spans="1:11" x14ac:dyDescent="0.25">
      <c r="A304" t="s">
        <v>239</v>
      </c>
      <c r="B304">
        <f t="shared" si="24"/>
        <v>2024</v>
      </c>
      <c r="C304" t="str">
        <f t="shared" si="25"/>
        <v>jun</v>
      </c>
      <c r="D304" t="str">
        <f t="shared" si="26"/>
        <v>Junho</v>
      </c>
      <c r="E304">
        <f t="shared" si="27"/>
        <v>4</v>
      </c>
      <c r="F304" t="s">
        <v>489</v>
      </c>
      <c r="G304" t="s">
        <v>497</v>
      </c>
      <c r="H304" t="str">
        <f t="shared" si="28"/>
        <v/>
      </c>
      <c r="I304" t="s">
        <v>524</v>
      </c>
      <c r="J304" s="4">
        <v>956</v>
      </c>
      <c r="K304" s="4">
        <f t="shared" si="29"/>
        <v>13954</v>
      </c>
    </row>
    <row r="305" spans="1:11" x14ac:dyDescent="0.25">
      <c r="A305" t="s">
        <v>240</v>
      </c>
      <c r="B305">
        <f t="shared" si="24"/>
        <v>2024</v>
      </c>
      <c r="C305" t="str">
        <f t="shared" si="25"/>
        <v>jun</v>
      </c>
      <c r="D305" t="str">
        <f t="shared" si="26"/>
        <v>Junho</v>
      </c>
      <c r="E305">
        <f t="shared" si="27"/>
        <v>6</v>
      </c>
      <c r="F305" t="s">
        <v>489</v>
      </c>
      <c r="G305" t="s">
        <v>498</v>
      </c>
      <c r="H305" t="str">
        <f t="shared" si="28"/>
        <v/>
      </c>
      <c r="I305" t="s">
        <v>512</v>
      </c>
      <c r="J305" s="4">
        <v>385</v>
      </c>
      <c r="K305" s="4">
        <f t="shared" si="29"/>
        <v>13569</v>
      </c>
    </row>
    <row r="306" spans="1:11" x14ac:dyDescent="0.25">
      <c r="A306" t="s">
        <v>241</v>
      </c>
      <c r="B306">
        <f t="shared" si="24"/>
        <v>2024</v>
      </c>
      <c r="C306" t="str">
        <f t="shared" si="25"/>
        <v>jun</v>
      </c>
      <c r="D306" t="str">
        <f t="shared" si="26"/>
        <v>Junho</v>
      </c>
      <c r="E306">
        <f t="shared" si="27"/>
        <v>8</v>
      </c>
      <c r="F306" t="s">
        <v>489</v>
      </c>
      <c r="G306" t="s">
        <v>492</v>
      </c>
      <c r="H306" t="str">
        <f t="shared" si="28"/>
        <v/>
      </c>
      <c r="I306" t="s">
        <v>517</v>
      </c>
      <c r="J306" s="4">
        <v>248</v>
      </c>
      <c r="K306" s="4">
        <f t="shared" si="29"/>
        <v>13321</v>
      </c>
    </row>
    <row r="307" spans="1:11" x14ac:dyDescent="0.25">
      <c r="A307" t="s">
        <v>242</v>
      </c>
      <c r="B307">
        <f t="shared" si="24"/>
        <v>2024</v>
      </c>
      <c r="C307" t="str">
        <f t="shared" si="25"/>
        <v>jun</v>
      </c>
      <c r="D307" t="str">
        <f t="shared" si="26"/>
        <v>Junho</v>
      </c>
      <c r="E307">
        <f t="shared" si="27"/>
        <v>9</v>
      </c>
      <c r="F307" t="s">
        <v>489</v>
      </c>
      <c r="G307" t="s">
        <v>492</v>
      </c>
      <c r="H307" t="str">
        <f t="shared" si="28"/>
        <v/>
      </c>
      <c r="I307" t="s">
        <v>502</v>
      </c>
      <c r="J307" s="4">
        <v>218</v>
      </c>
      <c r="K307" s="4">
        <f t="shared" si="29"/>
        <v>13103</v>
      </c>
    </row>
    <row r="308" spans="1:11" x14ac:dyDescent="0.25">
      <c r="A308" t="s">
        <v>242</v>
      </c>
      <c r="B308">
        <f t="shared" si="24"/>
        <v>2024</v>
      </c>
      <c r="C308" t="str">
        <f t="shared" si="25"/>
        <v>jun</v>
      </c>
      <c r="D308" t="str">
        <f t="shared" si="26"/>
        <v>Junho</v>
      </c>
      <c r="E308">
        <f t="shared" si="27"/>
        <v>9</v>
      </c>
      <c r="F308" t="s">
        <v>488</v>
      </c>
      <c r="G308" t="s">
        <v>495</v>
      </c>
      <c r="H308" t="str">
        <f t="shared" si="28"/>
        <v>Outras Receitas</v>
      </c>
      <c r="I308" t="s">
        <v>507</v>
      </c>
      <c r="J308" s="4">
        <v>397</v>
      </c>
      <c r="K308" s="4">
        <f t="shared" si="29"/>
        <v>13500</v>
      </c>
    </row>
    <row r="309" spans="1:11" x14ac:dyDescent="0.25">
      <c r="A309" t="s">
        <v>243</v>
      </c>
      <c r="B309">
        <f t="shared" si="24"/>
        <v>2024</v>
      </c>
      <c r="C309" t="str">
        <f t="shared" si="25"/>
        <v>jun</v>
      </c>
      <c r="D309" t="str">
        <f t="shared" si="26"/>
        <v>Junho</v>
      </c>
      <c r="E309">
        <f t="shared" si="27"/>
        <v>11</v>
      </c>
      <c r="F309" t="s">
        <v>489</v>
      </c>
      <c r="G309" t="s">
        <v>493</v>
      </c>
      <c r="H309" t="str">
        <f t="shared" si="28"/>
        <v/>
      </c>
      <c r="I309" t="s">
        <v>516</v>
      </c>
      <c r="J309" s="4">
        <v>224</v>
      </c>
      <c r="K309" s="4">
        <f t="shared" si="29"/>
        <v>13276</v>
      </c>
    </row>
    <row r="310" spans="1:11" x14ac:dyDescent="0.25">
      <c r="A310" t="s">
        <v>243</v>
      </c>
      <c r="B310">
        <f t="shared" si="24"/>
        <v>2024</v>
      </c>
      <c r="C310" t="str">
        <f t="shared" si="25"/>
        <v>jun</v>
      </c>
      <c r="D310" t="str">
        <f t="shared" si="26"/>
        <v>Junho</v>
      </c>
      <c r="E310">
        <f t="shared" si="27"/>
        <v>11</v>
      </c>
      <c r="F310" t="s">
        <v>488</v>
      </c>
      <c r="G310" t="s">
        <v>491</v>
      </c>
      <c r="H310" t="str">
        <f t="shared" si="28"/>
        <v>Outras Receitas</v>
      </c>
      <c r="I310" t="s">
        <v>501</v>
      </c>
      <c r="J310" s="4">
        <v>666</v>
      </c>
      <c r="K310" s="4">
        <f t="shared" si="29"/>
        <v>13942</v>
      </c>
    </row>
    <row r="311" spans="1:11" x14ac:dyDescent="0.25">
      <c r="A311" t="s">
        <v>244</v>
      </c>
      <c r="B311">
        <f t="shared" si="24"/>
        <v>2024</v>
      </c>
      <c r="C311" t="str">
        <f t="shared" si="25"/>
        <v>jun</v>
      </c>
      <c r="D311" t="str">
        <f t="shared" si="26"/>
        <v>Junho</v>
      </c>
      <c r="E311">
        <f t="shared" si="27"/>
        <v>16</v>
      </c>
      <c r="F311" t="s">
        <v>489</v>
      </c>
      <c r="G311" t="s">
        <v>492</v>
      </c>
      <c r="H311" t="str">
        <f t="shared" si="28"/>
        <v/>
      </c>
      <c r="I311" t="s">
        <v>514</v>
      </c>
      <c r="J311" s="4">
        <v>784</v>
      </c>
      <c r="K311" s="4">
        <f t="shared" si="29"/>
        <v>13158</v>
      </c>
    </row>
    <row r="312" spans="1:11" x14ac:dyDescent="0.25">
      <c r="A312" t="s">
        <v>245</v>
      </c>
      <c r="B312">
        <f t="shared" si="24"/>
        <v>2024</v>
      </c>
      <c r="C312" t="str">
        <f t="shared" si="25"/>
        <v>jun</v>
      </c>
      <c r="D312" t="str">
        <f t="shared" si="26"/>
        <v>Junho</v>
      </c>
      <c r="E312">
        <f t="shared" si="27"/>
        <v>19</v>
      </c>
      <c r="F312" t="s">
        <v>489</v>
      </c>
      <c r="G312" t="s">
        <v>497</v>
      </c>
      <c r="H312" t="str">
        <f t="shared" si="28"/>
        <v/>
      </c>
      <c r="I312" t="s">
        <v>524</v>
      </c>
      <c r="J312" s="4">
        <v>1084</v>
      </c>
      <c r="K312" s="4">
        <f t="shared" si="29"/>
        <v>12074</v>
      </c>
    </row>
    <row r="313" spans="1:11" x14ac:dyDescent="0.25">
      <c r="A313" t="s">
        <v>245</v>
      </c>
      <c r="B313">
        <f t="shared" si="24"/>
        <v>2024</v>
      </c>
      <c r="C313" t="str">
        <f t="shared" si="25"/>
        <v>jun</v>
      </c>
      <c r="D313" t="str">
        <f t="shared" si="26"/>
        <v>Junho</v>
      </c>
      <c r="E313">
        <f t="shared" si="27"/>
        <v>19</v>
      </c>
      <c r="F313" t="s">
        <v>489</v>
      </c>
      <c r="G313" t="s">
        <v>498</v>
      </c>
      <c r="H313" t="str">
        <f t="shared" si="28"/>
        <v/>
      </c>
      <c r="I313" t="s">
        <v>513</v>
      </c>
      <c r="J313" s="4">
        <v>949</v>
      </c>
      <c r="K313" s="4">
        <f t="shared" si="29"/>
        <v>11125</v>
      </c>
    </row>
    <row r="314" spans="1:11" x14ac:dyDescent="0.25">
      <c r="A314" t="s">
        <v>246</v>
      </c>
      <c r="B314">
        <f t="shared" ref="B314:B375" si="30">YEAR(A314)</f>
        <v>2024</v>
      </c>
      <c r="C314" t="str">
        <f t="shared" ref="C314:C375" si="31">TEXT(A314,"mmm")</f>
        <v>jun</v>
      </c>
      <c r="D314" t="str">
        <f t="shared" ref="D314:D375" si="32">PROPER(TEXT(A314,"Mmmm"))</f>
        <v>Junho</v>
      </c>
      <c r="E314">
        <f t="shared" si="27"/>
        <v>20</v>
      </c>
      <c r="F314" t="s">
        <v>489</v>
      </c>
      <c r="G314" t="s">
        <v>492</v>
      </c>
      <c r="H314" t="str">
        <f t="shared" si="28"/>
        <v/>
      </c>
      <c r="I314" t="s">
        <v>503</v>
      </c>
      <c r="J314" s="4">
        <v>149</v>
      </c>
      <c r="K314" s="4">
        <f t="shared" si="29"/>
        <v>10976</v>
      </c>
    </row>
    <row r="315" spans="1:11" x14ac:dyDescent="0.25">
      <c r="A315" t="s">
        <v>247</v>
      </c>
      <c r="B315">
        <f t="shared" si="30"/>
        <v>2024</v>
      </c>
      <c r="C315" t="str">
        <f t="shared" si="31"/>
        <v>jun</v>
      </c>
      <c r="D315" t="str">
        <f t="shared" si="32"/>
        <v>Junho</v>
      </c>
      <c r="E315">
        <f t="shared" si="27"/>
        <v>24</v>
      </c>
      <c r="F315" t="s">
        <v>489</v>
      </c>
      <c r="G315" t="s">
        <v>492</v>
      </c>
      <c r="H315" t="str">
        <f t="shared" si="28"/>
        <v/>
      </c>
      <c r="I315" t="s">
        <v>504</v>
      </c>
      <c r="J315" s="4">
        <v>2000</v>
      </c>
      <c r="K315" s="4">
        <f t="shared" si="29"/>
        <v>8976</v>
      </c>
    </row>
    <row r="316" spans="1:11" x14ac:dyDescent="0.25">
      <c r="A316" t="s">
        <v>248</v>
      </c>
      <c r="B316">
        <f t="shared" si="30"/>
        <v>2024</v>
      </c>
      <c r="C316" t="str">
        <f t="shared" si="31"/>
        <v>jun</v>
      </c>
      <c r="D316" t="str">
        <f t="shared" si="32"/>
        <v>Junho</v>
      </c>
      <c r="E316">
        <f t="shared" si="27"/>
        <v>27</v>
      </c>
      <c r="F316" t="s">
        <v>489</v>
      </c>
      <c r="G316" t="s">
        <v>492</v>
      </c>
      <c r="H316" t="str">
        <f t="shared" si="28"/>
        <v/>
      </c>
      <c r="I316" t="s">
        <v>508</v>
      </c>
      <c r="J316" s="4">
        <v>376</v>
      </c>
      <c r="K316" s="4">
        <f t="shared" si="29"/>
        <v>8600</v>
      </c>
    </row>
    <row r="317" spans="1:11" x14ac:dyDescent="0.25">
      <c r="A317" t="s">
        <v>249</v>
      </c>
      <c r="B317">
        <f t="shared" si="30"/>
        <v>2024</v>
      </c>
      <c r="C317" t="str">
        <f t="shared" si="31"/>
        <v>jun</v>
      </c>
      <c r="D317" t="str">
        <f t="shared" si="32"/>
        <v>Junho</v>
      </c>
      <c r="E317">
        <f t="shared" si="27"/>
        <v>28</v>
      </c>
      <c r="F317" t="s">
        <v>489</v>
      </c>
      <c r="G317" t="s">
        <v>497</v>
      </c>
      <c r="H317" t="str">
        <f t="shared" si="28"/>
        <v/>
      </c>
      <c r="I317" t="s">
        <v>520</v>
      </c>
      <c r="J317" s="4">
        <v>650</v>
      </c>
      <c r="K317" s="4">
        <f t="shared" si="29"/>
        <v>7950</v>
      </c>
    </row>
    <row r="318" spans="1:11" x14ac:dyDescent="0.25">
      <c r="A318" t="s">
        <v>250</v>
      </c>
      <c r="B318">
        <f t="shared" si="30"/>
        <v>2024</v>
      </c>
      <c r="C318" t="str">
        <f t="shared" si="31"/>
        <v>jul</v>
      </c>
      <c r="D318" t="str">
        <f t="shared" si="32"/>
        <v>Julho</v>
      </c>
      <c r="E318">
        <f t="shared" si="27"/>
        <v>1</v>
      </c>
      <c r="F318" t="s">
        <v>488</v>
      </c>
      <c r="G318" t="s">
        <v>490</v>
      </c>
      <c r="H318" t="str">
        <f t="shared" si="28"/>
        <v>Salário</v>
      </c>
      <c r="I318" t="s">
        <v>500</v>
      </c>
      <c r="J318" s="4">
        <v>7141</v>
      </c>
      <c r="K318" s="4">
        <f t="shared" si="29"/>
        <v>15091</v>
      </c>
    </row>
    <row r="319" spans="1:11" x14ac:dyDescent="0.25">
      <c r="A319" t="s">
        <v>251</v>
      </c>
      <c r="B319">
        <f t="shared" si="30"/>
        <v>2024</v>
      </c>
      <c r="C319" t="str">
        <f t="shared" si="31"/>
        <v>jul</v>
      </c>
      <c r="D319" t="str">
        <f t="shared" si="32"/>
        <v>Julho</v>
      </c>
      <c r="E319">
        <f t="shared" si="27"/>
        <v>2</v>
      </c>
      <c r="F319" t="s">
        <v>488</v>
      </c>
      <c r="G319" t="s">
        <v>495</v>
      </c>
      <c r="H319" t="str">
        <f t="shared" si="28"/>
        <v>Outras Receitas</v>
      </c>
      <c r="I319" t="s">
        <v>507</v>
      </c>
      <c r="J319" s="4">
        <v>296</v>
      </c>
      <c r="K319" s="4">
        <f t="shared" si="29"/>
        <v>15387</v>
      </c>
    </row>
    <row r="320" spans="1:11" x14ac:dyDescent="0.25">
      <c r="A320" t="s">
        <v>251</v>
      </c>
      <c r="B320">
        <f t="shared" si="30"/>
        <v>2024</v>
      </c>
      <c r="C320" t="str">
        <f t="shared" si="31"/>
        <v>jul</v>
      </c>
      <c r="D320" t="str">
        <f t="shared" si="32"/>
        <v>Julho</v>
      </c>
      <c r="E320">
        <f t="shared" si="27"/>
        <v>2</v>
      </c>
      <c r="F320" t="s">
        <v>489</v>
      </c>
      <c r="G320" t="s">
        <v>492</v>
      </c>
      <c r="H320" t="str">
        <f t="shared" si="28"/>
        <v/>
      </c>
      <c r="I320" t="s">
        <v>514</v>
      </c>
      <c r="J320" s="4">
        <v>1035</v>
      </c>
      <c r="K320" s="4">
        <f t="shared" si="29"/>
        <v>14352</v>
      </c>
    </row>
    <row r="321" spans="1:11" x14ac:dyDescent="0.25">
      <c r="A321" t="s">
        <v>252</v>
      </c>
      <c r="B321">
        <f t="shared" si="30"/>
        <v>2024</v>
      </c>
      <c r="C321" t="str">
        <f t="shared" si="31"/>
        <v>jul</v>
      </c>
      <c r="D321" t="str">
        <f t="shared" si="32"/>
        <v>Julho</v>
      </c>
      <c r="E321">
        <f t="shared" si="27"/>
        <v>4</v>
      </c>
      <c r="F321" t="s">
        <v>489</v>
      </c>
      <c r="G321" t="s">
        <v>493</v>
      </c>
      <c r="H321" t="str">
        <f t="shared" si="28"/>
        <v/>
      </c>
      <c r="I321" t="s">
        <v>518</v>
      </c>
      <c r="J321" s="4">
        <v>441</v>
      </c>
      <c r="K321" s="4">
        <f t="shared" si="29"/>
        <v>13911</v>
      </c>
    </row>
    <row r="322" spans="1:11" x14ac:dyDescent="0.25">
      <c r="A322" t="s">
        <v>253</v>
      </c>
      <c r="B322">
        <f t="shared" si="30"/>
        <v>2024</v>
      </c>
      <c r="C322" t="str">
        <f t="shared" si="31"/>
        <v>jul</v>
      </c>
      <c r="D322" t="str">
        <f t="shared" si="32"/>
        <v>Julho</v>
      </c>
      <c r="E322">
        <f t="shared" si="27"/>
        <v>10</v>
      </c>
      <c r="F322" t="s">
        <v>489</v>
      </c>
      <c r="G322" t="s">
        <v>498</v>
      </c>
      <c r="H322" t="str">
        <f t="shared" si="28"/>
        <v/>
      </c>
      <c r="I322" t="s">
        <v>513</v>
      </c>
      <c r="J322" s="4">
        <v>925</v>
      </c>
      <c r="K322" s="4">
        <f t="shared" si="29"/>
        <v>12986</v>
      </c>
    </row>
    <row r="323" spans="1:11" x14ac:dyDescent="0.25">
      <c r="A323" t="s">
        <v>254</v>
      </c>
      <c r="B323">
        <f t="shared" si="30"/>
        <v>2024</v>
      </c>
      <c r="C323" t="str">
        <f t="shared" si="31"/>
        <v>jul</v>
      </c>
      <c r="D323" t="str">
        <f t="shared" si="32"/>
        <v>Julho</v>
      </c>
      <c r="E323">
        <f t="shared" ref="E323:E386" si="33">DAY(A323)</f>
        <v>15</v>
      </c>
      <c r="F323" t="s">
        <v>489</v>
      </c>
      <c r="G323" t="s">
        <v>493</v>
      </c>
      <c r="H323" t="str">
        <f t="shared" ref="H323:H386" si="34">IF(F323="Receita",IF(G323="Salário","Salário","Outras Receitas"),"")</f>
        <v/>
      </c>
      <c r="I323" t="s">
        <v>516</v>
      </c>
      <c r="J323" s="4">
        <v>213</v>
      </c>
      <c r="K323" s="4">
        <f t="shared" ref="K323:K386" si="35">IF(ROW()=2,J323,IF(F323="Receita",K322+J323,K322-J323))</f>
        <v>12773</v>
      </c>
    </row>
    <row r="324" spans="1:11" x14ac:dyDescent="0.25">
      <c r="A324" t="s">
        <v>255</v>
      </c>
      <c r="B324">
        <f t="shared" si="30"/>
        <v>2024</v>
      </c>
      <c r="C324" t="str">
        <f t="shared" si="31"/>
        <v>jul</v>
      </c>
      <c r="D324" t="str">
        <f t="shared" si="32"/>
        <v>Julho</v>
      </c>
      <c r="E324">
        <f t="shared" si="33"/>
        <v>16</v>
      </c>
      <c r="F324" t="s">
        <v>489</v>
      </c>
      <c r="G324" t="s">
        <v>496</v>
      </c>
      <c r="H324" t="str">
        <f t="shared" si="34"/>
        <v/>
      </c>
      <c r="I324" t="s">
        <v>515</v>
      </c>
      <c r="J324" s="4">
        <v>135</v>
      </c>
      <c r="K324" s="4">
        <f t="shared" si="35"/>
        <v>12638</v>
      </c>
    </row>
    <row r="325" spans="1:11" x14ac:dyDescent="0.25">
      <c r="A325" t="s">
        <v>256</v>
      </c>
      <c r="B325">
        <f t="shared" si="30"/>
        <v>2024</v>
      </c>
      <c r="C325" t="str">
        <f t="shared" si="31"/>
        <v>jul</v>
      </c>
      <c r="D325" t="str">
        <f t="shared" si="32"/>
        <v>Julho</v>
      </c>
      <c r="E325">
        <f t="shared" si="33"/>
        <v>18</v>
      </c>
      <c r="F325" t="s">
        <v>489</v>
      </c>
      <c r="G325" t="s">
        <v>492</v>
      </c>
      <c r="H325" t="str">
        <f t="shared" si="34"/>
        <v/>
      </c>
      <c r="I325" t="s">
        <v>517</v>
      </c>
      <c r="J325" s="4">
        <v>254</v>
      </c>
      <c r="K325" s="4">
        <f t="shared" si="35"/>
        <v>12384</v>
      </c>
    </row>
    <row r="326" spans="1:11" x14ac:dyDescent="0.25">
      <c r="A326" t="s">
        <v>257</v>
      </c>
      <c r="B326">
        <f t="shared" si="30"/>
        <v>2024</v>
      </c>
      <c r="C326" t="str">
        <f t="shared" si="31"/>
        <v>jul</v>
      </c>
      <c r="D326" t="str">
        <f t="shared" si="32"/>
        <v>Julho</v>
      </c>
      <c r="E326">
        <f t="shared" si="33"/>
        <v>20</v>
      </c>
      <c r="F326" t="s">
        <v>489</v>
      </c>
      <c r="G326" t="s">
        <v>492</v>
      </c>
      <c r="H326" t="str">
        <f t="shared" si="34"/>
        <v/>
      </c>
      <c r="I326" t="s">
        <v>508</v>
      </c>
      <c r="J326" s="4">
        <v>232</v>
      </c>
      <c r="K326" s="4">
        <f t="shared" si="35"/>
        <v>12152</v>
      </c>
    </row>
    <row r="327" spans="1:11" x14ac:dyDescent="0.25">
      <c r="A327" t="s">
        <v>257</v>
      </c>
      <c r="B327">
        <f t="shared" si="30"/>
        <v>2024</v>
      </c>
      <c r="C327" t="str">
        <f t="shared" si="31"/>
        <v>jul</v>
      </c>
      <c r="D327" t="str">
        <f t="shared" si="32"/>
        <v>Julho</v>
      </c>
      <c r="E327">
        <f t="shared" si="33"/>
        <v>20</v>
      </c>
      <c r="F327" t="s">
        <v>489</v>
      </c>
      <c r="G327" t="s">
        <v>498</v>
      </c>
      <c r="H327" t="str">
        <f t="shared" si="34"/>
        <v/>
      </c>
      <c r="I327" t="s">
        <v>512</v>
      </c>
      <c r="J327" s="4">
        <v>310</v>
      </c>
      <c r="K327" s="4">
        <f t="shared" si="35"/>
        <v>11842</v>
      </c>
    </row>
    <row r="328" spans="1:11" x14ac:dyDescent="0.25">
      <c r="A328" t="s">
        <v>257</v>
      </c>
      <c r="B328">
        <f t="shared" si="30"/>
        <v>2024</v>
      </c>
      <c r="C328" t="str">
        <f t="shared" si="31"/>
        <v>jul</v>
      </c>
      <c r="D328" t="str">
        <f t="shared" si="32"/>
        <v>Julho</v>
      </c>
      <c r="E328">
        <f t="shared" si="33"/>
        <v>20</v>
      </c>
      <c r="F328" t="s">
        <v>489</v>
      </c>
      <c r="G328" t="s">
        <v>492</v>
      </c>
      <c r="H328" t="str">
        <f t="shared" si="34"/>
        <v/>
      </c>
      <c r="I328" t="s">
        <v>504</v>
      </c>
      <c r="J328" s="4">
        <v>2000</v>
      </c>
      <c r="K328" s="4">
        <f t="shared" si="35"/>
        <v>9842</v>
      </c>
    </row>
    <row r="329" spans="1:11" x14ac:dyDescent="0.25">
      <c r="A329" t="s">
        <v>258</v>
      </c>
      <c r="B329">
        <f t="shared" si="30"/>
        <v>2024</v>
      </c>
      <c r="C329" t="str">
        <f t="shared" si="31"/>
        <v>jul</v>
      </c>
      <c r="D329" t="str">
        <f t="shared" si="32"/>
        <v>Julho</v>
      </c>
      <c r="E329">
        <f t="shared" si="33"/>
        <v>21</v>
      </c>
      <c r="F329" t="s">
        <v>488</v>
      </c>
      <c r="G329" t="s">
        <v>491</v>
      </c>
      <c r="H329" t="str">
        <f t="shared" si="34"/>
        <v>Outras Receitas</v>
      </c>
      <c r="I329" t="s">
        <v>501</v>
      </c>
      <c r="J329" s="4">
        <v>1112</v>
      </c>
      <c r="K329" s="4">
        <f t="shared" si="35"/>
        <v>10954</v>
      </c>
    </row>
    <row r="330" spans="1:11" x14ac:dyDescent="0.25">
      <c r="A330" t="s">
        <v>259</v>
      </c>
      <c r="B330">
        <f t="shared" si="30"/>
        <v>2024</v>
      </c>
      <c r="C330" t="str">
        <f t="shared" si="31"/>
        <v>jul</v>
      </c>
      <c r="D330" t="str">
        <f t="shared" si="32"/>
        <v>Julho</v>
      </c>
      <c r="E330">
        <f t="shared" si="33"/>
        <v>23</v>
      </c>
      <c r="F330" t="s">
        <v>489</v>
      </c>
      <c r="G330" t="s">
        <v>492</v>
      </c>
      <c r="H330" t="str">
        <f t="shared" si="34"/>
        <v/>
      </c>
      <c r="I330" t="s">
        <v>502</v>
      </c>
      <c r="J330" s="4">
        <v>209</v>
      </c>
      <c r="K330" s="4">
        <f t="shared" si="35"/>
        <v>10745</v>
      </c>
    </row>
    <row r="331" spans="1:11" x14ac:dyDescent="0.25">
      <c r="A331" t="s">
        <v>259</v>
      </c>
      <c r="B331">
        <f t="shared" si="30"/>
        <v>2024</v>
      </c>
      <c r="C331" t="str">
        <f t="shared" si="31"/>
        <v>jul</v>
      </c>
      <c r="D331" t="str">
        <f t="shared" si="32"/>
        <v>Julho</v>
      </c>
      <c r="E331">
        <f t="shared" si="33"/>
        <v>23</v>
      </c>
      <c r="F331" t="s">
        <v>488</v>
      </c>
      <c r="G331" t="s">
        <v>494</v>
      </c>
      <c r="H331" t="str">
        <f t="shared" si="34"/>
        <v>Outras Receitas</v>
      </c>
      <c r="I331" t="s">
        <v>506</v>
      </c>
      <c r="J331" s="4">
        <v>1478</v>
      </c>
      <c r="K331" s="4">
        <f t="shared" si="35"/>
        <v>12223</v>
      </c>
    </row>
    <row r="332" spans="1:11" x14ac:dyDescent="0.25">
      <c r="A332" t="s">
        <v>260</v>
      </c>
      <c r="B332">
        <f t="shared" si="30"/>
        <v>2024</v>
      </c>
      <c r="C332" t="str">
        <f t="shared" si="31"/>
        <v>jul</v>
      </c>
      <c r="D332" t="str">
        <f t="shared" si="32"/>
        <v>Julho</v>
      </c>
      <c r="E332">
        <f t="shared" si="33"/>
        <v>26</v>
      </c>
      <c r="F332" t="s">
        <v>489</v>
      </c>
      <c r="G332" t="s">
        <v>492</v>
      </c>
      <c r="H332" t="str">
        <f t="shared" si="34"/>
        <v/>
      </c>
      <c r="I332" t="s">
        <v>503</v>
      </c>
      <c r="J332" s="4">
        <v>122</v>
      </c>
      <c r="K332" s="4">
        <f t="shared" si="35"/>
        <v>12101</v>
      </c>
    </row>
    <row r="333" spans="1:11" x14ac:dyDescent="0.25">
      <c r="A333" t="s">
        <v>260</v>
      </c>
      <c r="B333">
        <f t="shared" si="30"/>
        <v>2024</v>
      </c>
      <c r="C333" t="str">
        <f t="shared" si="31"/>
        <v>jul</v>
      </c>
      <c r="D333" t="str">
        <f t="shared" si="32"/>
        <v>Julho</v>
      </c>
      <c r="E333">
        <f t="shared" si="33"/>
        <v>26</v>
      </c>
      <c r="F333" t="s">
        <v>489</v>
      </c>
      <c r="G333" t="s">
        <v>499</v>
      </c>
      <c r="H333" t="str">
        <f t="shared" si="34"/>
        <v/>
      </c>
      <c r="I333" t="s">
        <v>532</v>
      </c>
      <c r="J333" s="4">
        <v>297</v>
      </c>
      <c r="K333" s="4">
        <f t="shared" si="35"/>
        <v>11804</v>
      </c>
    </row>
    <row r="334" spans="1:11" x14ac:dyDescent="0.25">
      <c r="A334" t="s">
        <v>261</v>
      </c>
      <c r="B334">
        <f t="shared" si="30"/>
        <v>2024</v>
      </c>
      <c r="C334" t="str">
        <f t="shared" si="31"/>
        <v>jul</v>
      </c>
      <c r="D334" t="str">
        <f t="shared" si="32"/>
        <v>Julho</v>
      </c>
      <c r="E334">
        <f t="shared" si="33"/>
        <v>28</v>
      </c>
      <c r="F334" t="s">
        <v>489</v>
      </c>
      <c r="G334" t="s">
        <v>497</v>
      </c>
      <c r="H334" t="str">
        <f t="shared" si="34"/>
        <v/>
      </c>
      <c r="I334" t="s">
        <v>520</v>
      </c>
      <c r="J334" s="4">
        <v>699</v>
      </c>
      <c r="K334" s="4">
        <f t="shared" si="35"/>
        <v>11105</v>
      </c>
    </row>
    <row r="335" spans="1:11" x14ac:dyDescent="0.25">
      <c r="A335" t="s">
        <v>261</v>
      </c>
      <c r="B335">
        <f t="shared" si="30"/>
        <v>2024</v>
      </c>
      <c r="C335" t="str">
        <f t="shared" si="31"/>
        <v>jul</v>
      </c>
      <c r="D335" t="str">
        <f t="shared" si="32"/>
        <v>Julho</v>
      </c>
      <c r="E335">
        <f t="shared" si="33"/>
        <v>28</v>
      </c>
      <c r="F335" t="s">
        <v>489</v>
      </c>
      <c r="G335" t="s">
        <v>496</v>
      </c>
      <c r="H335" t="str">
        <f t="shared" si="34"/>
        <v/>
      </c>
      <c r="I335" t="s">
        <v>530</v>
      </c>
      <c r="J335" s="4">
        <v>880</v>
      </c>
      <c r="K335" s="4">
        <f t="shared" si="35"/>
        <v>10225</v>
      </c>
    </row>
    <row r="336" spans="1:11" x14ac:dyDescent="0.25">
      <c r="A336" t="s">
        <v>261</v>
      </c>
      <c r="B336">
        <f t="shared" si="30"/>
        <v>2024</v>
      </c>
      <c r="C336" t="str">
        <f t="shared" si="31"/>
        <v>jul</v>
      </c>
      <c r="D336" t="str">
        <f t="shared" si="32"/>
        <v>Julho</v>
      </c>
      <c r="E336">
        <f t="shared" si="33"/>
        <v>28</v>
      </c>
      <c r="F336" t="s">
        <v>489</v>
      </c>
      <c r="G336" t="s">
        <v>499</v>
      </c>
      <c r="H336" t="str">
        <f t="shared" si="34"/>
        <v/>
      </c>
      <c r="I336" t="s">
        <v>526</v>
      </c>
      <c r="J336" s="4">
        <v>1113</v>
      </c>
      <c r="K336" s="4">
        <f t="shared" si="35"/>
        <v>9112</v>
      </c>
    </row>
    <row r="337" spans="1:11" x14ac:dyDescent="0.25">
      <c r="A337" t="s">
        <v>262</v>
      </c>
      <c r="B337">
        <f t="shared" si="30"/>
        <v>2024</v>
      </c>
      <c r="C337" t="str">
        <f t="shared" si="31"/>
        <v>ago</v>
      </c>
      <c r="D337" t="str">
        <f t="shared" si="32"/>
        <v>Agosto</v>
      </c>
      <c r="E337">
        <f t="shared" si="33"/>
        <v>1</v>
      </c>
      <c r="F337" t="s">
        <v>488</v>
      </c>
      <c r="G337" t="s">
        <v>490</v>
      </c>
      <c r="H337" t="str">
        <f t="shared" si="34"/>
        <v>Salário</v>
      </c>
      <c r="I337" t="s">
        <v>500</v>
      </c>
      <c r="J337" s="4">
        <v>6948</v>
      </c>
      <c r="K337" s="4">
        <f t="shared" si="35"/>
        <v>16060</v>
      </c>
    </row>
    <row r="338" spans="1:11" x14ac:dyDescent="0.25">
      <c r="A338" t="s">
        <v>263</v>
      </c>
      <c r="B338">
        <f t="shared" si="30"/>
        <v>2024</v>
      </c>
      <c r="C338" t="str">
        <f t="shared" si="31"/>
        <v>ago</v>
      </c>
      <c r="D338" t="str">
        <f t="shared" si="32"/>
        <v>Agosto</v>
      </c>
      <c r="E338">
        <f t="shared" si="33"/>
        <v>6</v>
      </c>
      <c r="F338" t="s">
        <v>489</v>
      </c>
      <c r="G338" t="s">
        <v>492</v>
      </c>
      <c r="H338" t="str">
        <f t="shared" si="34"/>
        <v/>
      </c>
      <c r="I338" t="s">
        <v>508</v>
      </c>
      <c r="J338" s="4">
        <v>402</v>
      </c>
      <c r="K338" s="4">
        <f t="shared" si="35"/>
        <v>15658</v>
      </c>
    </row>
    <row r="339" spans="1:11" x14ac:dyDescent="0.25">
      <c r="A339" t="s">
        <v>264</v>
      </c>
      <c r="B339">
        <f t="shared" si="30"/>
        <v>2024</v>
      </c>
      <c r="C339" t="str">
        <f t="shared" si="31"/>
        <v>ago</v>
      </c>
      <c r="D339" t="str">
        <f t="shared" si="32"/>
        <v>Agosto</v>
      </c>
      <c r="E339">
        <f t="shared" si="33"/>
        <v>8</v>
      </c>
      <c r="F339" t="s">
        <v>488</v>
      </c>
      <c r="G339" t="s">
        <v>491</v>
      </c>
      <c r="H339" t="str">
        <f t="shared" si="34"/>
        <v>Outras Receitas</v>
      </c>
      <c r="I339" t="s">
        <v>501</v>
      </c>
      <c r="J339" s="4">
        <v>1661</v>
      </c>
      <c r="K339" s="4">
        <f t="shared" si="35"/>
        <v>17319</v>
      </c>
    </row>
    <row r="340" spans="1:11" x14ac:dyDescent="0.25">
      <c r="A340" t="s">
        <v>264</v>
      </c>
      <c r="B340">
        <f t="shared" si="30"/>
        <v>2024</v>
      </c>
      <c r="C340" t="str">
        <f t="shared" si="31"/>
        <v>ago</v>
      </c>
      <c r="D340" t="str">
        <f t="shared" si="32"/>
        <v>Agosto</v>
      </c>
      <c r="E340">
        <f t="shared" si="33"/>
        <v>8</v>
      </c>
      <c r="F340" t="s">
        <v>489</v>
      </c>
      <c r="G340" t="s">
        <v>492</v>
      </c>
      <c r="H340" t="str">
        <f t="shared" si="34"/>
        <v/>
      </c>
      <c r="I340" t="s">
        <v>502</v>
      </c>
      <c r="J340" s="4">
        <v>159</v>
      </c>
      <c r="K340" s="4">
        <f t="shared" si="35"/>
        <v>17160</v>
      </c>
    </row>
    <row r="341" spans="1:11" x14ac:dyDescent="0.25">
      <c r="A341" t="s">
        <v>265</v>
      </c>
      <c r="B341">
        <f t="shared" si="30"/>
        <v>2024</v>
      </c>
      <c r="C341" t="str">
        <f t="shared" si="31"/>
        <v>ago</v>
      </c>
      <c r="D341" t="str">
        <f t="shared" si="32"/>
        <v>Agosto</v>
      </c>
      <c r="E341">
        <f t="shared" si="33"/>
        <v>9</v>
      </c>
      <c r="F341" t="s">
        <v>489</v>
      </c>
      <c r="G341" t="s">
        <v>493</v>
      </c>
      <c r="H341" t="str">
        <f t="shared" si="34"/>
        <v/>
      </c>
      <c r="I341" t="s">
        <v>516</v>
      </c>
      <c r="J341" s="4">
        <v>242</v>
      </c>
      <c r="K341" s="4">
        <f t="shared" si="35"/>
        <v>16918</v>
      </c>
    </row>
    <row r="342" spans="1:11" x14ac:dyDescent="0.25">
      <c r="A342" t="s">
        <v>265</v>
      </c>
      <c r="B342">
        <f t="shared" si="30"/>
        <v>2024</v>
      </c>
      <c r="C342" t="str">
        <f t="shared" si="31"/>
        <v>ago</v>
      </c>
      <c r="D342" t="str">
        <f t="shared" si="32"/>
        <v>Agosto</v>
      </c>
      <c r="E342">
        <f t="shared" si="33"/>
        <v>9</v>
      </c>
      <c r="F342" t="s">
        <v>489</v>
      </c>
      <c r="G342" t="s">
        <v>498</v>
      </c>
      <c r="H342" t="str">
        <f t="shared" si="34"/>
        <v/>
      </c>
      <c r="I342" t="s">
        <v>512</v>
      </c>
      <c r="J342" s="4">
        <v>354</v>
      </c>
      <c r="K342" s="4">
        <f t="shared" si="35"/>
        <v>16564</v>
      </c>
    </row>
    <row r="343" spans="1:11" x14ac:dyDescent="0.25">
      <c r="A343" t="s">
        <v>266</v>
      </c>
      <c r="B343">
        <f t="shared" si="30"/>
        <v>2024</v>
      </c>
      <c r="C343" t="str">
        <f t="shared" si="31"/>
        <v>ago</v>
      </c>
      <c r="D343" t="str">
        <f t="shared" si="32"/>
        <v>Agosto</v>
      </c>
      <c r="E343">
        <f t="shared" si="33"/>
        <v>11</v>
      </c>
      <c r="F343" t="s">
        <v>489</v>
      </c>
      <c r="G343" t="s">
        <v>497</v>
      </c>
      <c r="H343" t="str">
        <f t="shared" si="34"/>
        <v/>
      </c>
      <c r="I343" t="s">
        <v>520</v>
      </c>
      <c r="J343" s="4">
        <v>707</v>
      </c>
      <c r="K343" s="4">
        <f t="shared" si="35"/>
        <v>15857</v>
      </c>
    </row>
    <row r="344" spans="1:11" x14ac:dyDescent="0.25">
      <c r="A344" t="s">
        <v>267</v>
      </c>
      <c r="B344">
        <f t="shared" si="30"/>
        <v>2024</v>
      </c>
      <c r="C344" t="str">
        <f t="shared" si="31"/>
        <v>ago</v>
      </c>
      <c r="D344" t="str">
        <f t="shared" si="32"/>
        <v>Agosto</v>
      </c>
      <c r="E344">
        <f t="shared" si="33"/>
        <v>13</v>
      </c>
      <c r="F344" t="s">
        <v>488</v>
      </c>
      <c r="G344" t="s">
        <v>495</v>
      </c>
      <c r="H344" t="str">
        <f t="shared" si="34"/>
        <v>Outras Receitas</v>
      </c>
      <c r="I344" t="s">
        <v>507</v>
      </c>
      <c r="J344" s="4">
        <v>568</v>
      </c>
      <c r="K344" s="4">
        <f t="shared" si="35"/>
        <v>16425</v>
      </c>
    </row>
    <row r="345" spans="1:11" x14ac:dyDescent="0.25">
      <c r="A345" t="s">
        <v>268</v>
      </c>
      <c r="B345">
        <f t="shared" si="30"/>
        <v>2024</v>
      </c>
      <c r="C345" t="str">
        <f t="shared" si="31"/>
        <v>ago</v>
      </c>
      <c r="D345" t="str">
        <f t="shared" si="32"/>
        <v>Agosto</v>
      </c>
      <c r="E345">
        <f t="shared" si="33"/>
        <v>16</v>
      </c>
      <c r="F345" t="s">
        <v>489</v>
      </c>
      <c r="G345" t="s">
        <v>492</v>
      </c>
      <c r="H345" t="str">
        <f t="shared" si="34"/>
        <v/>
      </c>
      <c r="I345" t="s">
        <v>514</v>
      </c>
      <c r="J345" s="4">
        <v>970</v>
      </c>
      <c r="K345" s="4">
        <f t="shared" si="35"/>
        <v>15455</v>
      </c>
    </row>
    <row r="346" spans="1:11" x14ac:dyDescent="0.25">
      <c r="A346" t="s">
        <v>268</v>
      </c>
      <c r="B346">
        <f t="shared" si="30"/>
        <v>2024</v>
      </c>
      <c r="C346" t="str">
        <f t="shared" si="31"/>
        <v>ago</v>
      </c>
      <c r="D346" t="str">
        <f t="shared" si="32"/>
        <v>Agosto</v>
      </c>
      <c r="E346">
        <f t="shared" si="33"/>
        <v>16</v>
      </c>
      <c r="F346" t="s">
        <v>489</v>
      </c>
      <c r="G346" t="s">
        <v>492</v>
      </c>
      <c r="H346" t="str">
        <f t="shared" si="34"/>
        <v/>
      </c>
      <c r="I346" t="s">
        <v>503</v>
      </c>
      <c r="J346" s="4">
        <v>161</v>
      </c>
      <c r="K346" s="4">
        <f t="shared" si="35"/>
        <v>15294</v>
      </c>
    </row>
    <row r="347" spans="1:11" x14ac:dyDescent="0.25">
      <c r="A347" t="s">
        <v>269</v>
      </c>
      <c r="B347">
        <f t="shared" si="30"/>
        <v>2024</v>
      </c>
      <c r="C347" t="str">
        <f t="shared" si="31"/>
        <v>ago</v>
      </c>
      <c r="D347" t="str">
        <f t="shared" si="32"/>
        <v>Agosto</v>
      </c>
      <c r="E347">
        <f t="shared" si="33"/>
        <v>17</v>
      </c>
      <c r="F347" t="s">
        <v>489</v>
      </c>
      <c r="G347" t="s">
        <v>492</v>
      </c>
      <c r="H347" t="str">
        <f t="shared" si="34"/>
        <v/>
      </c>
      <c r="I347" t="s">
        <v>517</v>
      </c>
      <c r="J347" s="4">
        <v>241</v>
      </c>
      <c r="K347" s="4">
        <f t="shared" si="35"/>
        <v>15053</v>
      </c>
    </row>
    <row r="348" spans="1:11" x14ac:dyDescent="0.25">
      <c r="A348" t="s">
        <v>270</v>
      </c>
      <c r="B348">
        <f t="shared" si="30"/>
        <v>2024</v>
      </c>
      <c r="C348" t="str">
        <f t="shared" si="31"/>
        <v>ago</v>
      </c>
      <c r="D348" t="str">
        <f t="shared" si="32"/>
        <v>Agosto</v>
      </c>
      <c r="E348">
        <f t="shared" si="33"/>
        <v>18</v>
      </c>
      <c r="F348" t="s">
        <v>489</v>
      </c>
      <c r="G348" t="s">
        <v>496</v>
      </c>
      <c r="H348" t="str">
        <f t="shared" si="34"/>
        <v/>
      </c>
      <c r="I348" t="s">
        <v>530</v>
      </c>
      <c r="J348" s="4">
        <v>657</v>
      </c>
      <c r="K348" s="4">
        <f t="shared" si="35"/>
        <v>14396</v>
      </c>
    </row>
    <row r="349" spans="1:11" x14ac:dyDescent="0.25">
      <c r="A349" t="s">
        <v>271</v>
      </c>
      <c r="B349">
        <f t="shared" si="30"/>
        <v>2024</v>
      </c>
      <c r="C349" t="str">
        <f t="shared" si="31"/>
        <v>ago</v>
      </c>
      <c r="D349" t="str">
        <f t="shared" si="32"/>
        <v>Agosto</v>
      </c>
      <c r="E349">
        <f t="shared" si="33"/>
        <v>19</v>
      </c>
      <c r="F349" t="s">
        <v>489</v>
      </c>
      <c r="G349" t="s">
        <v>493</v>
      </c>
      <c r="H349" t="str">
        <f t="shared" si="34"/>
        <v/>
      </c>
      <c r="I349" t="s">
        <v>518</v>
      </c>
      <c r="J349" s="4">
        <v>421</v>
      </c>
      <c r="K349" s="4">
        <f t="shared" si="35"/>
        <v>13975</v>
      </c>
    </row>
    <row r="350" spans="1:11" x14ac:dyDescent="0.25">
      <c r="A350" t="s">
        <v>272</v>
      </c>
      <c r="B350">
        <f t="shared" si="30"/>
        <v>2024</v>
      </c>
      <c r="C350" t="str">
        <f t="shared" si="31"/>
        <v>ago</v>
      </c>
      <c r="D350" t="str">
        <f t="shared" si="32"/>
        <v>Agosto</v>
      </c>
      <c r="E350">
        <f t="shared" si="33"/>
        <v>22</v>
      </c>
      <c r="F350" t="s">
        <v>489</v>
      </c>
      <c r="G350" t="s">
        <v>498</v>
      </c>
      <c r="H350" t="str">
        <f t="shared" si="34"/>
        <v/>
      </c>
      <c r="I350" t="s">
        <v>513</v>
      </c>
      <c r="J350" s="4">
        <v>1160</v>
      </c>
      <c r="K350" s="4">
        <f t="shared" si="35"/>
        <v>12815</v>
      </c>
    </row>
    <row r="351" spans="1:11" x14ac:dyDescent="0.25">
      <c r="A351" t="s">
        <v>272</v>
      </c>
      <c r="B351">
        <f t="shared" si="30"/>
        <v>2024</v>
      </c>
      <c r="C351" t="str">
        <f t="shared" si="31"/>
        <v>ago</v>
      </c>
      <c r="D351" t="str">
        <f t="shared" si="32"/>
        <v>Agosto</v>
      </c>
      <c r="E351">
        <f t="shared" si="33"/>
        <v>22</v>
      </c>
      <c r="F351" t="s">
        <v>489</v>
      </c>
      <c r="G351" t="s">
        <v>492</v>
      </c>
      <c r="H351" t="str">
        <f t="shared" si="34"/>
        <v/>
      </c>
      <c r="I351" t="s">
        <v>504</v>
      </c>
      <c r="J351" s="4">
        <v>2000</v>
      </c>
      <c r="K351" s="4">
        <f t="shared" si="35"/>
        <v>10815</v>
      </c>
    </row>
    <row r="352" spans="1:11" x14ac:dyDescent="0.25">
      <c r="A352" t="s">
        <v>273</v>
      </c>
      <c r="B352">
        <f t="shared" si="30"/>
        <v>2024</v>
      </c>
      <c r="C352" t="str">
        <f t="shared" si="31"/>
        <v>set</v>
      </c>
      <c r="D352" t="str">
        <f t="shared" si="32"/>
        <v>Setembro</v>
      </c>
      <c r="E352">
        <f t="shared" si="33"/>
        <v>1</v>
      </c>
      <c r="F352" t="s">
        <v>488</v>
      </c>
      <c r="G352" t="s">
        <v>490</v>
      </c>
      <c r="H352" t="str">
        <f t="shared" si="34"/>
        <v>Salário</v>
      </c>
      <c r="I352" t="s">
        <v>500</v>
      </c>
      <c r="J352" s="4">
        <v>6974</v>
      </c>
      <c r="K352" s="4">
        <f t="shared" si="35"/>
        <v>17789</v>
      </c>
    </row>
    <row r="353" spans="1:11" x14ac:dyDescent="0.25">
      <c r="A353" t="s">
        <v>274</v>
      </c>
      <c r="B353">
        <f t="shared" si="30"/>
        <v>2024</v>
      </c>
      <c r="C353" t="str">
        <f t="shared" si="31"/>
        <v>set</v>
      </c>
      <c r="D353" t="str">
        <f t="shared" si="32"/>
        <v>Setembro</v>
      </c>
      <c r="E353">
        <f t="shared" si="33"/>
        <v>2</v>
      </c>
      <c r="F353" t="s">
        <v>489</v>
      </c>
      <c r="G353" t="s">
        <v>492</v>
      </c>
      <c r="H353" t="str">
        <f t="shared" si="34"/>
        <v/>
      </c>
      <c r="I353" t="s">
        <v>517</v>
      </c>
      <c r="J353" s="4">
        <v>245</v>
      </c>
      <c r="K353" s="4">
        <f t="shared" si="35"/>
        <v>17544</v>
      </c>
    </row>
    <row r="354" spans="1:11" x14ac:dyDescent="0.25">
      <c r="A354" t="s">
        <v>275</v>
      </c>
      <c r="B354">
        <f t="shared" si="30"/>
        <v>2024</v>
      </c>
      <c r="C354" t="str">
        <f t="shared" si="31"/>
        <v>set</v>
      </c>
      <c r="D354" t="str">
        <f t="shared" si="32"/>
        <v>Setembro</v>
      </c>
      <c r="E354">
        <f t="shared" si="33"/>
        <v>3</v>
      </c>
      <c r="F354" t="s">
        <v>489</v>
      </c>
      <c r="G354" t="s">
        <v>499</v>
      </c>
      <c r="H354" t="str">
        <f t="shared" si="34"/>
        <v/>
      </c>
      <c r="I354" t="s">
        <v>521</v>
      </c>
      <c r="J354" s="4">
        <v>1074</v>
      </c>
      <c r="K354" s="4">
        <f t="shared" si="35"/>
        <v>16470</v>
      </c>
    </row>
    <row r="355" spans="1:11" x14ac:dyDescent="0.25">
      <c r="A355" t="s">
        <v>276</v>
      </c>
      <c r="B355">
        <f t="shared" si="30"/>
        <v>2024</v>
      </c>
      <c r="C355" t="str">
        <f t="shared" si="31"/>
        <v>set</v>
      </c>
      <c r="D355" t="str">
        <f t="shared" si="32"/>
        <v>Setembro</v>
      </c>
      <c r="E355">
        <f t="shared" si="33"/>
        <v>4</v>
      </c>
      <c r="F355" t="s">
        <v>489</v>
      </c>
      <c r="G355" t="s">
        <v>492</v>
      </c>
      <c r="H355" t="str">
        <f t="shared" si="34"/>
        <v/>
      </c>
      <c r="I355" t="s">
        <v>514</v>
      </c>
      <c r="J355" s="4">
        <v>840</v>
      </c>
      <c r="K355" s="4">
        <f t="shared" si="35"/>
        <v>15630</v>
      </c>
    </row>
    <row r="356" spans="1:11" x14ac:dyDescent="0.25">
      <c r="A356" t="s">
        <v>277</v>
      </c>
      <c r="B356">
        <f t="shared" si="30"/>
        <v>2024</v>
      </c>
      <c r="C356" t="str">
        <f t="shared" si="31"/>
        <v>set</v>
      </c>
      <c r="D356" t="str">
        <f t="shared" si="32"/>
        <v>Setembro</v>
      </c>
      <c r="E356">
        <f t="shared" si="33"/>
        <v>5</v>
      </c>
      <c r="F356" t="s">
        <v>489</v>
      </c>
      <c r="G356" t="s">
        <v>497</v>
      </c>
      <c r="H356" t="str">
        <f t="shared" si="34"/>
        <v/>
      </c>
      <c r="I356" t="s">
        <v>511</v>
      </c>
      <c r="J356" s="4">
        <v>961</v>
      </c>
      <c r="K356" s="4">
        <f t="shared" si="35"/>
        <v>14669</v>
      </c>
    </row>
    <row r="357" spans="1:11" x14ac:dyDescent="0.25">
      <c r="A357" t="s">
        <v>278</v>
      </c>
      <c r="B357">
        <f t="shared" si="30"/>
        <v>2024</v>
      </c>
      <c r="C357" t="str">
        <f t="shared" si="31"/>
        <v>set</v>
      </c>
      <c r="D357" t="str">
        <f t="shared" si="32"/>
        <v>Setembro</v>
      </c>
      <c r="E357">
        <f t="shared" si="33"/>
        <v>6</v>
      </c>
      <c r="F357" t="s">
        <v>489</v>
      </c>
      <c r="G357" t="s">
        <v>492</v>
      </c>
      <c r="H357" t="str">
        <f t="shared" si="34"/>
        <v/>
      </c>
      <c r="I357" t="s">
        <v>504</v>
      </c>
      <c r="J357" s="4">
        <v>2000</v>
      </c>
      <c r="K357" s="4">
        <f t="shared" si="35"/>
        <v>12669</v>
      </c>
    </row>
    <row r="358" spans="1:11" x14ac:dyDescent="0.25">
      <c r="A358" t="s">
        <v>278</v>
      </c>
      <c r="B358">
        <f t="shared" si="30"/>
        <v>2024</v>
      </c>
      <c r="C358" t="str">
        <f t="shared" si="31"/>
        <v>set</v>
      </c>
      <c r="D358" t="str">
        <f t="shared" si="32"/>
        <v>Setembro</v>
      </c>
      <c r="E358">
        <f t="shared" si="33"/>
        <v>6</v>
      </c>
      <c r="F358" t="s">
        <v>488</v>
      </c>
      <c r="G358" t="s">
        <v>491</v>
      </c>
      <c r="H358" t="str">
        <f t="shared" si="34"/>
        <v>Outras Receitas</v>
      </c>
      <c r="I358" t="s">
        <v>501</v>
      </c>
      <c r="J358" s="4">
        <v>1385</v>
      </c>
      <c r="K358" s="4">
        <f t="shared" si="35"/>
        <v>14054</v>
      </c>
    </row>
    <row r="359" spans="1:11" x14ac:dyDescent="0.25">
      <c r="A359" t="s">
        <v>279</v>
      </c>
      <c r="B359">
        <f t="shared" si="30"/>
        <v>2024</v>
      </c>
      <c r="C359" t="str">
        <f t="shared" si="31"/>
        <v>set</v>
      </c>
      <c r="D359" t="str">
        <f t="shared" si="32"/>
        <v>Setembro</v>
      </c>
      <c r="E359">
        <f t="shared" si="33"/>
        <v>8</v>
      </c>
      <c r="F359" t="s">
        <v>488</v>
      </c>
      <c r="G359" t="s">
        <v>495</v>
      </c>
      <c r="H359" t="str">
        <f t="shared" si="34"/>
        <v>Outras Receitas</v>
      </c>
      <c r="I359" t="s">
        <v>507</v>
      </c>
      <c r="J359" s="4">
        <v>556</v>
      </c>
      <c r="K359" s="4">
        <f t="shared" si="35"/>
        <v>14610</v>
      </c>
    </row>
    <row r="360" spans="1:11" x14ac:dyDescent="0.25">
      <c r="A360" t="s">
        <v>280</v>
      </c>
      <c r="B360">
        <f t="shared" si="30"/>
        <v>2024</v>
      </c>
      <c r="C360" t="str">
        <f t="shared" si="31"/>
        <v>set</v>
      </c>
      <c r="D360" t="str">
        <f t="shared" si="32"/>
        <v>Setembro</v>
      </c>
      <c r="E360">
        <f t="shared" si="33"/>
        <v>11</v>
      </c>
      <c r="F360" t="s">
        <v>489</v>
      </c>
      <c r="G360" t="s">
        <v>498</v>
      </c>
      <c r="H360" t="str">
        <f t="shared" si="34"/>
        <v/>
      </c>
      <c r="I360" t="s">
        <v>513</v>
      </c>
      <c r="J360" s="4">
        <v>1286</v>
      </c>
      <c r="K360" s="4">
        <f t="shared" si="35"/>
        <v>13324</v>
      </c>
    </row>
    <row r="361" spans="1:11" x14ac:dyDescent="0.25">
      <c r="A361" t="s">
        <v>281</v>
      </c>
      <c r="B361">
        <f t="shared" si="30"/>
        <v>2024</v>
      </c>
      <c r="C361" t="str">
        <f t="shared" si="31"/>
        <v>set</v>
      </c>
      <c r="D361" t="str">
        <f t="shared" si="32"/>
        <v>Setembro</v>
      </c>
      <c r="E361">
        <f t="shared" si="33"/>
        <v>12</v>
      </c>
      <c r="F361" t="s">
        <v>489</v>
      </c>
      <c r="G361" t="s">
        <v>492</v>
      </c>
      <c r="H361" t="str">
        <f t="shared" si="34"/>
        <v/>
      </c>
      <c r="I361" t="s">
        <v>508</v>
      </c>
      <c r="J361" s="4">
        <v>403</v>
      </c>
      <c r="K361" s="4">
        <f t="shared" si="35"/>
        <v>12921</v>
      </c>
    </row>
    <row r="362" spans="1:11" x14ac:dyDescent="0.25">
      <c r="A362" t="s">
        <v>282</v>
      </c>
      <c r="B362">
        <f t="shared" si="30"/>
        <v>2024</v>
      </c>
      <c r="C362" t="str">
        <f t="shared" si="31"/>
        <v>set</v>
      </c>
      <c r="D362" t="str">
        <f t="shared" si="32"/>
        <v>Setembro</v>
      </c>
      <c r="E362">
        <f t="shared" si="33"/>
        <v>13</v>
      </c>
      <c r="F362" t="s">
        <v>489</v>
      </c>
      <c r="G362" t="s">
        <v>493</v>
      </c>
      <c r="H362" t="str">
        <f t="shared" si="34"/>
        <v/>
      </c>
      <c r="I362" t="s">
        <v>516</v>
      </c>
      <c r="J362" s="4">
        <v>213</v>
      </c>
      <c r="K362" s="4">
        <f t="shared" si="35"/>
        <v>12708</v>
      </c>
    </row>
    <row r="363" spans="1:11" x14ac:dyDescent="0.25">
      <c r="A363" t="s">
        <v>283</v>
      </c>
      <c r="B363">
        <f t="shared" si="30"/>
        <v>2024</v>
      </c>
      <c r="C363" t="str">
        <f t="shared" si="31"/>
        <v>set</v>
      </c>
      <c r="D363" t="str">
        <f t="shared" si="32"/>
        <v>Setembro</v>
      </c>
      <c r="E363">
        <f t="shared" si="33"/>
        <v>16</v>
      </c>
      <c r="F363" t="s">
        <v>489</v>
      </c>
      <c r="G363" t="s">
        <v>493</v>
      </c>
      <c r="H363" t="str">
        <f t="shared" si="34"/>
        <v/>
      </c>
      <c r="I363" t="s">
        <v>518</v>
      </c>
      <c r="J363" s="4">
        <v>462</v>
      </c>
      <c r="K363" s="4">
        <f t="shared" si="35"/>
        <v>12246</v>
      </c>
    </row>
    <row r="364" spans="1:11" x14ac:dyDescent="0.25">
      <c r="A364" t="s">
        <v>284</v>
      </c>
      <c r="B364">
        <f t="shared" si="30"/>
        <v>2024</v>
      </c>
      <c r="C364" t="str">
        <f t="shared" si="31"/>
        <v>set</v>
      </c>
      <c r="D364" t="str">
        <f t="shared" si="32"/>
        <v>Setembro</v>
      </c>
      <c r="E364">
        <f t="shared" si="33"/>
        <v>17</v>
      </c>
      <c r="F364" t="s">
        <v>489</v>
      </c>
      <c r="G364" t="s">
        <v>497</v>
      </c>
      <c r="H364" t="str">
        <f t="shared" si="34"/>
        <v/>
      </c>
      <c r="I364" t="s">
        <v>520</v>
      </c>
      <c r="J364" s="4">
        <v>751</v>
      </c>
      <c r="K364" s="4">
        <f t="shared" si="35"/>
        <v>11495</v>
      </c>
    </row>
    <row r="365" spans="1:11" x14ac:dyDescent="0.25">
      <c r="A365" t="s">
        <v>285</v>
      </c>
      <c r="B365">
        <f t="shared" si="30"/>
        <v>2024</v>
      </c>
      <c r="C365" t="str">
        <f t="shared" si="31"/>
        <v>set</v>
      </c>
      <c r="D365" t="str">
        <f t="shared" si="32"/>
        <v>Setembro</v>
      </c>
      <c r="E365">
        <f t="shared" si="33"/>
        <v>18</v>
      </c>
      <c r="F365" t="s">
        <v>489</v>
      </c>
      <c r="G365" t="s">
        <v>492</v>
      </c>
      <c r="H365" t="str">
        <f t="shared" si="34"/>
        <v/>
      </c>
      <c r="I365" t="s">
        <v>503</v>
      </c>
      <c r="J365" s="4">
        <v>127</v>
      </c>
      <c r="K365" s="4">
        <f t="shared" si="35"/>
        <v>11368</v>
      </c>
    </row>
    <row r="366" spans="1:11" x14ac:dyDescent="0.25">
      <c r="A366" t="s">
        <v>286</v>
      </c>
      <c r="B366">
        <f t="shared" si="30"/>
        <v>2024</v>
      </c>
      <c r="C366" t="str">
        <f t="shared" si="31"/>
        <v>set</v>
      </c>
      <c r="D366" t="str">
        <f t="shared" si="32"/>
        <v>Setembro</v>
      </c>
      <c r="E366">
        <f t="shared" si="33"/>
        <v>20</v>
      </c>
      <c r="F366" t="s">
        <v>489</v>
      </c>
      <c r="G366" t="s">
        <v>498</v>
      </c>
      <c r="H366" t="str">
        <f t="shared" si="34"/>
        <v/>
      </c>
      <c r="I366" t="s">
        <v>512</v>
      </c>
      <c r="J366" s="4">
        <v>400</v>
      </c>
      <c r="K366" s="4">
        <f t="shared" si="35"/>
        <v>10968</v>
      </c>
    </row>
    <row r="367" spans="1:11" x14ac:dyDescent="0.25">
      <c r="A367" t="s">
        <v>287</v>
      </c>
      <c r="B367">
        <f t="shared" si="30"/>
        <v>2024</v>
      </c>
      <c r="C367" t="str">
        <f t="shared" si="31"/>
        <v>set</v>
      </c>
      <c r="D367" t="str">
        <f t="shared" si="32"/>
        <v>Setembro</v>
      </c>
      <c r="E367">
        <f t="shared" si="33"/>
        <v>23</v>
      </c>
      <c r="F367" t="s">
        <v>489</v>
      </c>
      <c r="G367" t="s">
        <v>499</v>
      </c>
      <c r="H367" t="str">
        <f t="shared" si="34"/>
        <v/>
      </c>
      <c r="I367" t="s">
        <v>526</v>
      </c>
      <c r="J367" s="4">
        <v>850</v>
      </c>
      <c r="K367" s="4">
        <f t="shared" si="35"/>
        <v>10118</v>
      </c>
    </row>
    <row r="368" spans="1:11" x14ac:dyDescent="0.25">
      <c r="A368" t="s">
        <v>288</v>
      </c>
      <c r="B368">
        <f t="shared" si="30"/>
        <v>2024</v>
      </c>
      <c r="C368" t="str">
        <f t="shared" si="31"/>
        <v>set</v>
      </c>
      <c r="D368" t="str">
        <f t="shared" si="32"/>
        <v>Setembro</v>
      </c>
      <c r="E368">
        <f t="shared" si="33"/>
        <v>25</v>
      </c>
      <c r="F368" t="s">
        <v>489</v>
      </c>
      <c r="G368" t="s">
        <v>497</v>
      </c>
      <c r="H368" t="str">
        <f t="shared" si="34"/>
        <v/>
      </c>
      <c r="I368" t="s">
        <v>524</v>
      </c>
      <c r="J368" s="4">
        <v>91</v>
      </c>
      <c r="K368" s="4">
        <f t="shared" si="35"/>
        <v>10027</v>
      </c>
    </row>
    <row r="369" spans="1:11" x14ac:dyDescent="0.25">
      <c r="A369" t="s">
        <v>289</v>
      </c>
      <c r="B369">
        <f t="shared" si="30"/>
        <v>2024</v>
      </c>
      <c r="C369" t="str">
        <f t="shared" si="31"/>
        <v>set</v>
      </c>
      <c r="D369" t="str">
        <f t="shared" si="32"/>
        <v>Setembro</v>
      </c>
      <c r="E369">
        <f t="shared" si="33"/>
        <v>27</v>
      </c>
      <c r="F369" t="s">
        <v>489</v>
      </c>
      <c r="G369" t="s">
        <v>492</v>
      </c>
      <c r="H369" t="str">
        <f t="shared" si="34"/>
        <v/>
      </c>
      <c r="I369" t="s">
        <v>510</v>
      </c>
      <c r="J369" s="4">
        <v>1021</v>
      </c>
      <c r="K369" s="4">
        <f t="shared" si="35"/>
        <v>9006</v>
      </c>
    </row>
    <row r="370" spans="1:11" x14ac:dyDescent="0.25">
      <c r="A370" t="s">
        <v>289</v>
      </c>
      <c r="B370">
        <f t="shared" si="30"/>
        <v>2024</v>
      </c>
      <c r="C370" t="str">
        <f t="shared" si="31"/>
        <v>set</v>
      </c>
      <c r="D370" t="str">
        <f t="shared" si="32"/>
        <v>Setembro</v>
      </c>
      <c r="E370">
        <f t="shared" si="33"/>
        <v>27</v>
      </c>
      <c r="F370" t="s">
        <v>489</v>
      </c>
      <c r="G370" t="s">
        <v>492</v>
      </c>
      <c r="H370" t="str">
        <f t="shared" si="34"/>
        <v/>
      </c>
      <c r="I370" t="s">
        <v>502</v>
      </c>
      <c r="J370" s="4">
        <v>212</v>
      </c>
      <c r="K370" s="4">
        <f t="shared" si="35"/>
        <v>8794</v>
      </c>
    </row>
    <row r="371" spans="1:11" x14ac:dyDescent="0.25">
      <c r="A371" t="s">
        <v>290</v>
      </c>
      <c r="B371">
        <f t="shared" si="30"/>
        <v>2024</v>
      </c>
      <c r="C371" t="str">
        <f t="shared" si="31"/>
        <v>out</v>
      </c>
      <c r="D371" t="str">
        <f t="shared" si="32"/>
        <v>Outubro</v>
      </c>
      <c r="E371">
        <f t="shared" si="33"/>
        <v>1</v>
      </c>
      <c r="F371" t="s">
        <v>488</v>
      </c>
      <c r="G371" t="s">
        <v>490</v>
      </c>
      <c r="H371" t="str">
        <f t="shared" si="34"/>
        <v>Salário</v>
      </c>
      <c r="I371" t="s">
        <v>500</v>
      </c>
      <c r="J371" s="4">
        <v>6903</v>
      </c>
      <c r="K371" s="4">
        <f t="shared" si="35"/>
        <v>15697</v>
      </c>
    </row>
    <row r="372" spans="1:11" x14ac:dyDescent="0.25">
      <c r="A372" t="s">
        <v>291</v>
      </c>
      <c r="B372">
        <f t="shared" si="30"/>
        <v>2024</v>
      </c>
      <c r="C372" t="str">
        <f t="shared" si="31"/>
        <v>out</v>
      </c>
      <c r="D372" t="str">
        <f t="shared" si="32"/>
        <v>Outubro</v>
      </c>
      <c r="E372">
        <f t="shared" si="33"/>
        <v>4</v>
      </c>
      <c r="F372" t="s">
        <v>489</v>
      </c>
      <c r="G372" t="s">
        <v>492</v>
      </c>
      <c r="H372" t="str">
        <f t="shared" si="34"/>
        <v/>
      </c>
      <c r="I372" t="s">
        <v>517</v>
      </c>
      <c r="J372" s="4">
        <v>243</v>
      </c>
      <c r="K372" s="4">
        <f t="shared" si="35"/>
        <v>15454</v>
      </c>
    </row>
    <row r="373" spans="1:11" x14ac:dyDescent="0.25">
      <c r="A373" t="s">
        <v>292</v>
      </c>
      <c r="B373">
        <f t="shared" si="30"/>
        <v>2024</v>
      </c>
      <c r="C373" t="str">
        <f t="shared" si="31"/>
        <v>out</v>
      </c>
      <c r="D373" t="str">
        <f t="shared" si="32"/>
        <v>Outubro</v>
      </c>
      <c r="E373">
        <f t="shared" si="33"/>
        <v>5</v>
      </c>
      <c r="F373" t="s">
        <v>489</v>
      </c>
      <c r="G373" t="s">
        <v>493</v>
      </c>
      <c r="H373" t="str">
        <f t="shared" si="34"/>
        <v/>
      </c>
      <c r="I373" t="s">
        <v>516</v>
      </c>
      <c r="J373" s="4">
        <v>218</v>
      </c>
      <c r="K373" s="4">
        <f t="shared" si="35"/>
        <v>15236</v>
      </c>
    </row>
    <row r="374" spans="1:11" x14ac:dyDescent="0.25">
      <c r="A374" t="s">
        <v>293</v>
      </c>
      <c r="B374">
        <f t="shared" si="30"/>
        <v>2024</v>
      </c>
      <c r="C374" t="str">
        <f t="shared" si="31"/>
        <v>out</v>
      </c>
      <c r="D374" t="str">
        <f t="shared" si="32"/>
        <v>Outubro</v>
      </c>
      <c r="E374">
        <f t="shared" si="33"/>
        <v>7</v>
      </c>
      <c r="F374" t="s">
        <v>489</v>
      </c>
      <c r="G374" t="s">
        <v>497</v>
      </c>
      <c r="H374" t="str">
        <f t="shared" si="34"/>
        <v/>
      </c>
      <c r="I374" t="s">
        <v>511</v>
      </c>
      <c r="J374" s="4">
        <v>408</v>
      </c>
      <c r="K374" s="4">
        <f t="shared" si="35"/>
        <v>14828</v>
      </c>
    </row>
    <row r="375" spans="1:11" x14ac:dyDescent="0.25">
      <c r="A375" t="s">
        <v>294</v>
      </c>
      <c r="B375">
        <f t="shared" si="30"/>
        <v>2024</v>
      </c>
      <c r="C375" t="str">
        <f t="shared" si="31"/>
        <v>out</v>
      </c>
      <c r="D375" t="str">
        <f t="shared" si="32"/>
        <v>Outubro</v>
      </c>
      <c r="E375">
        <f t="shared" si="33"/>
        <v>9</v>
      </c>
      <c r="F375" t="s">
        <v>489</v>
      </c>
      <c r="G375" t="s">
        <v>498</v>
      </c>
      <c r="H375" t="str">
        <f t="shared" si="34"/>
        <v/>
      </c>
      <c r="I375" t="s">
        <v>512</v>
      </c>
      <c r="J375" s="4">
        <v>359</v>
      </c>
      <c r="K375" s="4">
        <f t="shared" si="35"/>
        <v>14469</v>
      </c>
    </row>
    <row r="376" spans="1:11" x14ac:dyDescent="0.25">
      <c r="A376" t="s">
        <v>295</v>
      </c>
      <c r="B376">
        <f t="shared" ref="B376:B439" si="36">YEAR(A376)</f>
        <v>2024</v>
      </c>
      <c r="C376" t="str">
        <f t="shared" ref="C376:C439" si="37">TEXT(A376,"mmm")</f>
        <v>out</v>
      </c>
      <c r="D376" t="str">
        <f t="shared" ref="D376:D439" si="38">PROPER(TEXT(A376,"Mmmm"))</f>
        <v>Outubro</v>
      </c>
      <c r="E376">
        <f t="shared" si="33"/>
        <v>12</v>
      </c>
      <c r="F376" t="s">
        <v>489</v>
      </c>
      <c r="G376" t="s">
        <v>492</v>
      </c>
      <c r="H376" t="str">
        <f t="shared" si="34"/>
        <v/>
      </c>
      <c r="I376" t="s">
        <v>502</v>
      </c>
      <c r="J376" s="4">
        <v>191</v>
      </c>
      <c r="K376" s="4">
        <f t="shared" si="35"/>
        <v>14278</v>
      </c>
    </row>
    <row r="377" spans="1:11" x14ac:dyDescent="0.25">
      <c r="A377" t="s">
        <v>296</v>
      </c>
      <c r="B377">
        <f t="shared" si="36"/>
        <v>2024</v>
      </c>
      <c r="C377" t="str">
        <f t="shared" si="37"/>
        <v>out</v>
      </c>
      <c r="D377" t="str">
        <f t="shared" si="38"/>
        <v>Outubro</v>
      </c>
      <c r="E377">
        <f t="shared" si="33"/>
        <v>13</v>
      </c>
      <c r="F377" t="s">
        <v>489</v>
      </c>
      <c r="G377" t="s">
        <v>496</v>
      </c>
      <c r="H377" t="str">
        <f t="shared" si="34"/>
        <v/>
      </c>
      <c r="I377" t="s">
        <v>530</v>
      </c>
      <c r="J377" s="4">
        <v>794</v>
      </c>
      <c r="K377" s="4">
        <f t="shared" si="35"/>
        <v>13484</v>
      </c>
    </row>
    <row r="378" spans="1:11" x14ac:dyDescent="0.25">
      <c r="A378" t="s">
        <v>297</v>
      </c>
      <c r="B378">
        <f t="shared" si="36"/>
        <v>2024</v>
      </c>
      <c r="C378" t="str">
        <f t="shared" si="37"/>
        <v>out</v>
      </c>
      <c r="D378" t="str">
        <f t="shared" si="38"/>
        <v>Outubro</v>
      </c>
      <c r="E378">
        <f t="shared" si="33"/>
        <v>15</v>
      </c>
      <c r="F378" t="s">
        <v>489</v>
      </c>
      <c r="G378" t="s">
        <v>497</v>
      </c>
      <c r="H378" t="str">
        <f t="shared" si="34"/>
        <v/>
      </c>
      <c r="I378" t="s">
        <v>520</v>
      </c>
      <c r="J378" s="4">
        <v>767</v>
      </c>
      <c r="K378" s="4">
        <f t="shared" si="35"/>
        <v>12717</v>
      </c>
    </row>
    <row r="379" spans="1:11" x14ac:dyDescent="0.25">
      <c r="A379" t="s">
        <v>298</v>
      </c>
      <c r="B379">
        <f t="shared" si="36"/>
        <v>2024</v>
      </c>
      <c r="C379" t="str">
        <f t="shared" si="37"/>
        <v>out</v>
      </c>
      <c r="D379" t="str">
        <f t="shared" si="38"/>
        <v>Outubro</v>
      </c>
      <c r="E379">
        <f t="shared" si="33"/>
        <v>19</v>
      </c>
      <c r="F379" t="s">
        <v>489</v>
      </c>
      <c r="G379" t="s">
        <v>492</v>
      </c>
      <c r="H379" t="str">
        <f t="shared" si="34"/>
        <v/>
      </c>
      <c r="I379" t="s">
        <v>514</v>
      </c>
      <c r="J379" s="4">
        <v>868</v>
      </c>
      <c r="K379" s="4">
        <f t="shared" si="35"/>
        <v>11849</v>
      </c>
    </row>
    <row r="380" spans="1:11" x14ac:dyDescent="0.25">
      <c r="A380" t="s">
        <v>298</v>
      </c>
      <c r="B380">
        <f t="shared" si="36"/>
        <v>2024</v>
      </c>
      <c r="C380" t="str">
        <f t="shared" si="37"/>
        <v>out</v>
      </c>
      <c r="D380" t="str">
        <f t="shared" si="38"/>
        <v>Outubro</v>
      </c>
      <c r="E380">
        <f t="shared" si="33"/>
        <v>19</v>
      </c>
      <c r="F380" t="s">
        <v>489</v>
      </c>
      <c r="G380" t="s">
        <v>492</v>
      </c>
      <c r="H380" t="str">
        <f t="shared" si="34"/>
        <v/>
      </c>
      <c r="I380" t="s">
        <v>503</v>
      </c>
      <c r="J380" s="4">
        <v>114</v>
      </c>
      <c r="K380" s="4">
        <f t="shared" si="35"/>
        <v>11735</v>
      </c>
    </row>
    <row r="381" spans="1:11" x14ac:dyDescent="0.25">
      <c r="A381" t="s">
        <v>299</v>
      </c>
      <c r="B381">
        <f t="shared" si="36"/>
        <v>2024</v>
      </c>
      <c r="C381" t="str">
        <f t="shared" si="37"/>
        <v>out</v>
      </c>
      <c r="D381" t="str">
        <f t="shared" si="38"/>
        <v>Outubro</v>
      </c>
      <c r="E381">
        <f t="shared" si="33"/>
        <v>21</v>
      </c>
      <c r="F381" t="s">
        <v>489</v>
      </c>
      <c r="G381" t="s">
        <v>497</v>
      </c>
      <c r="H381" t="str">
        <f t="shared" si="34"/>
        <v/>
      </c>
      <c r="I381" t="s">
        <v>511</v>
      </c>
      <c r="J381" s="4">
        <v>843</v>
      </c>
      <c r="K381" s="4">
        <f t="shared" si="35"/>
        <v>10892</v>
      </c>
    </row>
    <row r="382" spans="1:11" x14ac:dyDescent="0.25">
      <c r="A382" t="s">
        <v>300</v>
      </c>
      <c r="B382">
        <f t="shared" si="36"/>
        <v>2024</v>
      </c>
      <c r="C382" t="str">
        <f t="shared" si="37"/>
        <v>out</v>
      </c>
      <c r="D382" t="str">
        <f t="shared" si="38"/>
        <v>Outubro</v>
      </c>
      <c r="E382">
        <f t="shared" si="33"/>
        <v>22</v>
      </c>
      <c r="F382" t="s">
        <v>488</v>
      </c>
      <c r="G382" t="s">
        <v>495</v>
      </c>
      <c r="H382" t="str">
        <f t="shared" si="34"/>
        <v>Outras Receitas</v>
      </c>
      <c r="I382" t="s">
        <v>507</v>
      </c>
      <c r="J382" s="4">
        <v>291</v>
      </c>
      <c r="K382" s="4">
        <f t="shared" si="35"/>
        <v>11183</v>
      </c>
    </row>
    <row r="383" spans="1:11" x14ac:dyDescent="0.25">
      <c r="A383" t="s">
        <v>301</v>
      </c>
      <c r="B383">
        <f t="shared" si="36"/>
        <v>2024</v>
      </c>
      <c r="C383" t="str">
        <f t="shared" si="37"/>
        <v>out</v>
      </c>
      <c r="D383" t="str">
        <f t="shared" si="38"/>
        <v>Outubro</v>
      </c>
      <c r="E383">
        <f t="shared" si="33"/>
        <v>23</v>
      </c>
      <c r="F383" t="s">
        <v>489</v>
      </c>
      <c r="G383" t="s">
        <v>498</v>
      </c>
      <c r="H383" t="str">
        <f t="shared" si="34"/>
        <v/>
      </c>
      <c r="I383" t="s">
        <v>513</v>
      </c>
      <c r="J383" s="4">
        <v>1332</v>
      </c>
      <c r="K383" s="4">
        <f t="shared" si="35"/>
        <v>9851</v>
      </c>
    </row>
    <row r="384" spans="1:11" x14ac:dyDescent="0.25">
      <c r="A384" t="s">
        <v>301</v>
      </c>
      <c r="B384">
        <f t="shared" si="36"/>
        <v>2024</v>
      </c>
      <c r="C384" t="str">
        <f t="shared" si="37"/>
        <v>out</v>
      </c>
      <c r="D384" t="str">
        <f t="shared" si="38"/>
        <v>Outubro</v>
      </c>
      <c r="E384">
        <f t="shared" si="33"/>
        <v>23</v>
      </c>
      <c r="F384" t="s">
        <v>489</v>
      </c>
      <c r="G384" t="s">
        <v>492</v>
      </c>
      <c r="H384" t="str">
        <f t="shared" si="34"/>
        <v/>
      </c>
      <c r="I384" t="s">
        <v>504</v>
      </c>
      <c r="J384" s="4">
        <v>2000</v>
      </c>
      <c r="K384" s="4">
        <f t="shared" si="35"/>
        <v>7851</v>
      </c>
    </row>
    <row r="385" spans="1:11" x14ac:dyDescent="0.25">
      <c r="A385" t="s">
        <v>302</v>
      </c>
      <c r="B385">
        <f t="shared" si="36"/>
        <v>2024</v>
      </c>
      <c r="C385" t="str">
        <f t="shared" si="37"/>
        <v>out</v>
      </c>
      <c r="D385" t="str">
        <f t="shared" si="38"/>
        <v>Outubro</v>
      </c>
      <c r="E385">
        <f t="shared" si="33"/>
        <v>24</v>
      </c>
      <c r="F385" t="s">
        <v>488</v>
      </c>
      <c r="G385" t="s">
        <v>491</v>
      </c>
      <c r="H385" t="str">
        <f t="shared" si="34"/>
        <v>Outras Receitas</v>
      </c>
      <c r="I385" t="s">
        <v>501</v>
      </c>
      <c r="J385" s="4">
        <v>1414</v>
      </c>
      <c r="K385" s="4">
        <f t="shared" si="35"/>
        <v>9265</v>
      </c>
    </row>
    <row r="386" spans="1:11" x14ac:dyDescent="0.25">
      <c r="A386" t="s">
        <v>303</v>
      </c>
      <c r="B386">
        <f t="shared" si="36"/>
        <v>2024</v>
      </c>
      <c r="C386" t="str">
        <f t="shared" si="37"/>
        <v>out</v>
      </c>
      <c r="D386" t="str">
        <f t="shared" si="38"/>
        <v>Outubro</v>
      </c>
      <c r="E386">
        <f t="shared" si="33"/>
        <v>26</v>
      </c>
      <c r="F386" t="s">
        <v>489</v>
      </c>
      <c r="G386" t="s">
        <v>492</v>
      </c>
      <c r="H386" t="str">
        <f t="shared" si="34"/>
        <v/>
      </c>
      <c r="I386" t="s">
        <v>508</v>
      </c>
      <c r="J386" s="4">
        <v>318</v>
      </c>
      <c r="K386" s="4">
        <f t="shared" si="35"/>
        <v>8947</v>
      </c>
    </row>
    <row r="387" spans="1:11" x14ac:dyDescent="0.25">
      <c r="A387" t="s">
        <v>303</v>
      </c>
      <c r="B387">
        <f t="shared" si="36"/>
        <v>2024</v>
      </c>
      <c r="C387" t="str">
        <f t="shared" si="37"/>
        <v>out</v>
      </c>
      <c r="D387" t="str">
        <f t="shared" si="38"/>
        <v>Outubro</v>
      </c>
      <c r="E387">
        <f t="shared" ref="E387:E450" si="39">DAY(A387)</f>
        <v>26</v>
      </c>
      <c r="F387" t="s">
        <v>489</v>
      </c>
      <c r="G387" t="s">
        <v>493</v>
      </c>
      <c r="H387" t="str">
        <f t="shared" ref="H387:H450" si="40">IF(F387="Receita",IF(G387="Salário","Salário","Outras Receitas"),"")</f>
        <v/>
      </c>
      <c r="I387" t="s">
        <v>518</v>
      </c>
      <c r="J387" s="4">
        <v>492</v>
      </c>
      <c r="K387" s="4">
        <f t="shared" ref="K387:K450" si="41">IF(ROW()=2,J387,IF(F387="Receita",K386+J387,K386-J387))</f>
        <v>8455</v>
      </c>
    </row>
    <row r="388" spans="1:11" x14ac:dyDescent="0.25">
      <c r="A388" t="s">
        <v>304</v>
      </c>
      <c r="B388">
        <f t="shared" si="36"/>
        <v>2024</v>
      </c>
      <c r="C388" t="str">
        <f t="shared" si="37"/>
        <v>nov</v>
      </c>
      <c r="D388" t="str">
        <f t="shared" si="38"/>
        <v>Novembro</v>
      </c>
      <c r="E388">
        <f t="shared" si="39"/>
        <v>1</v>
      </c>
      <c r="F388" t="s">
        <v>488</v>
      </c>
      <c r="G388" t="s">
        <v>490</v>
      </c>
      <c r="H388" t="str">
        <f t="shared" si="40"/>
        <v>Salário</v>
      </c>
      <c r="I388" t="s">
        <v>500</v>
      </c>
      <c r="J388" s="4">
        <v>7050</v>
      </c>
      <c r="K388" s="4">
        <f t="shared" si="41"/>
        <v>15505</v>
      </c>
    </row>
    <row r="389" spans="1:11" x14ac:dyDescent="0.25">
      <c r="A389" t="s">
        <v>305</v>
      </c>
      <c r="B389">
        <f t="shared" si="36"/>
        <v>2024</v>
      </c>
      <c r="C389" t="str">
        <f t="shared" si="37"/>
        <v>nov</v>
      </c>
      <c r="D389" t="str">
        <f t="shared" si="38"/>
        <v>Novembro</v>
      </c>
      <c r="E389">
        <f t="shared" si="39"/>
        <v>2</v>
      </c>
      <c r="F389" t="s">
        <v>489</v>
      </c>
      <c r="G389" t="s">
        <v>492</v>
      </c>
      <c r="H389" t="str">
        <f t="shared" si="40"/>
        <v/>
      </c>
      <c r="I389" t="s">
        <v>514</v>
      </c>
      <c r="J389" s="4">
        <v>1008</v>
      </c>
      <c r="K389" s="4">
        <f t="shared" si="41"/>
        <v>14497</v>
      </c>
    </row>
    <row r="390" spans="1:11" x14ac:dyDescent="0.25">
      <c r="A390" t="s">
        <v>306</v>
      </c>
      <c r="B390">
        <f t="shared" si="36"/>
        <v>2024</v>
      </c>
      <c r="C390" t="str">
        <f t="shared" si="37"/>
        <v>nov</v>
      </c>
      <c r="D390" t="str">
        <f t="shared" si="38"/>
        <v>Novembro</v>
      </c>
      <c r="E390">
        <f t="shared" si="39"/>
        <v>4</v>
      </c>
      <c r="F390" t="s">
        <v>489</v>
      </c>
      <c r="G390" t="s">
        <v>492</v>
      </c>
      <c r="H390" t="str">
        <f t="shared" si="40"/>
        <v/>
      </c>
      <c r="I390" t="s">
        <v>503</v>
      </c>
      <c r="J390" s="4">
        <v>137</v>
      </c>
      <c r="K390" s="4">
        <f t="shared" si="41"/>
        <v>14360</v>
      </c>
    </row>
    <row r="391" spans="1:11" x14ac:dyDescent="0.25">
      <c r="A391" t="s">
        <v>307</v>
      </c>
      <c r="B391">
        <f t="shared" si="36"/>
        <v>2024</v>
      </c>
      <c r="C391" t="str">
        <f t="shared" si="37"/>
        <v>nov</v>
      </c>
      <c r="D391" t="str">
        <f t="shared" si="38"/>
        <v>Novembro</v>
      </c>
      <c r="E391">
        <f t="shared" si="39"/>
        <v>8</v>
      </c>
      <c r="F391" t="s">
        <v>489</v>
      </c>
      <c r="G391" t="s">
        <v>493</v>
      </c>
      <c r="H391" t="str">
        <f t="shared" si="40"/>
        <v/>
      </c>
      <c r="I391" t="s">
        <v>518</v>
      </c>
      <c r="J391" s="4">
        <v>607</v>
      </c>
      <c r="K391" s="4">
        <f t="shared" si="41"/>
        <v>13753</v>
      </c>
    </row>
    <row r="392" spans="1:11" x14ac:dyDescent="0.25">
      <c r="A392" t="s">
        <v>308</v>
      </c>
      <c r="B392">
        <f t="shared" si="36"/>
        <v>2024</v>
      </c>
      <c r="C392" t="str">
        <f t="shared" si="37"/>
        <v>nov</v>
      </c>
      <c r="D392" t="str">
        <f t="shared" si="38"/>
        <v>Novembro</v>
      </c>
      <c r="E392">
        <f t="shared" si="39"/>
        <v>9</v>
      </c>
      <c r="F392" t="s">
        <v>488</v>
      </c>
      <c r="G392" t="s">
        <v>491</v>
      </c>
      <c r="H392" t="str">
        <f t="shared" si="40"/>
        <v>Outras Receitas</v>
      </c>
      <c r="I392" t="s">
        <v>501</v>
      </c>
      <c r="J392" s="4">
        <v>1544</v>
      </c>
      <c r="K392" s="4">
        <f t="shared" si="41"/>
        <v>15297</v>
      </c>
    </row>
    <row r="393" spans="1:11" x14ac:dyDescent="0.25">
      <c r="A393" t="s">
        <v>309</v>
      </c>
      <c r="B393">
        <f t="shared" si="36"/>
        <v>2024</v>
      </c>
      <c r="C393" t="str">
        <f t="shared" si="37"/>
        <v>nov</v>
      </c>
      <c r="D393" t="str">
        <f t="shared" si="38"/>
        <v>Novembro</v>
      </c>
      <c r="E393">
        <f t="shared" si="39"/>
        <v>11</v>
      </c>
      <c r="F393" t="s">
        <v>489</v>
      </c>
      <c r="G393" t="s">
        <v>498</v>
      </c>
      <c r="H393" t="str">
        <f t="shared" si="40"/>
        <v/>
      </c>
      <c r="I393" t="s">
        <v>513</v>
      </c>
      <c r="J393" s="4">
        <v>1176</v>
      </c>
      <c r="K393" s="4">
        <f t="shared" si="41"/>
        <v>14121</v>
      </c>
    </row>
    <row r="394" spans="1:11" x14ac:dyDescent="0.25">
      <c r="A394" t="s">
        <v>310</v>
      </c>
      <c r="B394">
        <f t="shared" si="36"/>
        <v>2024</v>
      </c>
      <c r="C394" t="str">
        <f t="shared" si="37"/>
        <v>nov</v>
      </c>
      <c r="D394" t="str">
        <f t="shared" si="38"/>
        <v>Novembro</v>
      </c>
      <c r="E394">
        <f t="shared" si="39"/>
        <v>13</v>
      </c>
      <c r="F394" t="s">
        <v>489</v>
      </c>
      <c r="G394" t="s">
        <v>492</v>
      </c>
      <c r="H394" t="str">
        <f t="shared" si="40"/>
        <v/>
      </c>
      <c r="I394" t="s">
        <v>517</v>
      </c>
      <c r="J394" s="4">
        <v>262</v>
      </c>
      <c r="K394" s="4">
        <f t="shared" si="41"/>
        <v>13859</v>
      </c>
    </row>
    <row r="395" spans="1:11" x14ac:dyDescent="0.25">
      <c r="A395" t="s">
        <v>311</v>
      </c>
      <c r="B395">
        <f t="shared" si="36"/>
        <v>2024</v>
      </c>
      <c r="C395" t="str">
        <f t="shared" si="37"/>
        <v>nov</v>
      </c>
      <c r="D395" t="str">
        <f t="shared" si="38"/>
        <v>Novembro</v>
      </c>
      <c r="E395">
        <f t="shared" si="39"/>
        <v>15</v>
      </c>
      <c r="F395" t="s">
        <v>489</v>
      </c>
      <c r="G395" t="s">
        <v>498</v>
      </c>
      <c r="H395" t="str">
        <f t="shared" si="40"/>
        <v/>
      </c>
      <c r="I395" t="s">
        <v>512</v>
      </c>
      <c r="J395" s="4">
        <v>350</v>
      </c>
      <c r="K395" s="4">
        <f t="shared" si="41"/>
        <v>13509</v>
      </c>
    </row>
    <row r="396" spans="1:11" x14ac:dyDescent="0.25">
      <c r="A396" t="s">
        <v>312</v>
      </c>
      <c r="B396">
        <f t="shared" si="36"/>
        <v>2024</v>
      </c>
      <c r="C396" t="str">
        <f t="shared" si="37"/>
        <v>nov</v>
      </c>
      <c r="D396" t="str">
        <f t="shared" si="38"/>
        <v>Novembro</v>
      </c>
      <c r="E396">
        <f t="shared" si="39"/>
        <v>16</v>
      </c>
      <c r="F396" t="s">
        <v>489</v>
      </c>
      <c r="G396" t="s">
        <v>497</v>
      </c>
      <c r="H396" t="str">
        <f t="shared" si="40"/>
        <v/>
      </c>
      <c r="I396" t="s">
        <v>520</v>
      </c>
      <c r="J396" s="4">
        <v>748</v>
      </c>
      <c r="K396" s="4">
        <f t="shared" si="41"/>
        <v>12761</v>
      </c>
    </row>
    <row r="397" spans="1:11" x14ac:dyDescent="0.25">
      <c r="A397" t="s">
        <v>312</v>
      </c>
      <c r="B397">
        <f t="shared" si="36"/>
        <v>2024</v>
      </c>
      <c r="C397" t="str">
        <f t="shared" si="37"/>
        <v>nov</v>
      </c>
      <c r="D397" t="str">
        <f t="shared" si="38"/>
        <v>Novembro</v>
      </c>
      <c r="E397">
        <f t="shared" si="39"/>
        <v>16</v>
      </c>
      <c r="F397" t="s">
        <v>489</v>
      </c>
      <c r="G397" t="s">
        <v>492</v>
      </c>
      <c r="H397" t="str">
        <f t="shared" si="40"/>
        <v/>
      </c>
      <c r="I397" t="s">
        <v>502</v>
      </c>
      <c r="J397" s="4">
        <v>216</v>
      </c>
      <c r="K397" s="4">
        <f t="shared" si="41"/>
        <v>12545</v>
      </c>
    </row>
    <row r="398" spans="1:11" x14ac:dyDescent="0.25">
      <c r="A398" t="s">
        <v>313</v>
      </c>
      <c r="B398">
        <f t="shared" si="36"/>
        <v>2024</v>
      </c>
      <c r="C398" t="str">
        <f t="shared" si="37"/>
        <v>nov</v>
      </c>
      <c r="D398" t="str">
        <f t="shared" si="38"/>
        <v>Novembro</v>
      </c>
      <c r="E398">
        <f t="shared" si="39"/>
        <v>17</v>
      </c>
      <c r="F398" t="s">
        <v>489</v>
      </c>
      <c r="G398" t="s">
        <v>493</v>
      </c>
      <c r="H398" t="str">
        <f t="shared" si="40"/>
        <v/>
      </c>
      <c r="I398" t="s">
        <v>516</v>
      </c>
      <c r="J398" s="4">
        <v>203</v>
      </c>
      <c r="K398" s="4">
        <f t="shared" si="41"/>
        <v>12342</v>
      </c>
    </row>
    <row r="399" spans="1:11" x14ac:dyDescent="0.25">
      <c r="A399" t="s">
        <v>314</v>
      </c>
      <c r="B399">
        <f t="shared" si="36"/>
        <v>2024</v>
      </c>
      <c r="C399" t="str">
        <f t="shared" si="37"/>
        <v>nov</v>
      </c>
      <c r="D399" t="str">
        <f t="shared" si="38"/>
        <v>Novembro</v>
      </c>
      <c r="E399">
        <f t="shared" si="39"/>
        <v>22</v>
      </c>
      <c r="F399" t="s">
        <v>489</v>
      </c>
      <c r="G399" t="s">
        <v>497</v>
      </c>
      <c r="H399" t="str">
        <f t="shared" si="40"/>
        <v/>
      </c>
      <c r="I399" t="s">
        <v>524</v>
      </c>
      <c r="J399" s="4">
        <v>508</v>
      </c>
      <c r="K399" s="4">
        <f t="shared" si="41"/>
        <v>11834</v>
      </c>
    </row>
    <row r="400" spans="1:11" x14ac:dyDescent="0.25">
      <c r="A400" t="s">
        <v>314</v>
      </c>
      <c r="B400">
        <f t="shared" si="36"/>
        <v>2024</v>
      </c>
      <c r="C400" t="str">
        <f t="shared" si="37"/>
        <v>nov</v>
      </c>
      <c r="D400" t="str">
        <f t="shared" si="38"/>
        <v>Novembro</v>
      </c>
      <c r="E400">
        <f t="shared" si="39"/>
        <v>22</v>
      </c>
      <c r="F400" t="s">
        <v>489</v>
      </c>
      <c r="G400" t="s">
        <v>492</v>
      </c>
      <c r="H400" t="str">
        <f t="shared" si="40"/>
        <v/>
      </c>
      <c r="I400" t="s">
        <v>510</v>
      </c>
      <c r="J400" s="4">
        <v>258</v>
      </c>
      <c r="K400" s="4">
        <f t="shared" si="41"/>
        <v>11576</v>
      </c>
    </row>
    <row r="401" spans="1:11" x14ac:dyDescent="0.25">
      <c r="A401" t="s">
        <v>314</v>
      </c>
      <c r="B401">
        <f t="shared" si="36"/>
        <v>2024</v>
      </c>
      <c r="C401" t="str">
        <f t="shared" si="37"/>
        <v>nov</v>
      </c>
      <c r="D401" t="str">
        <f t="shared" si="38"/>
        <v>Novembro</v>
      </c>
      <c r="E401">
        <f t="shared" si="39"/>
        <v>22</v>
      </c>
      <c r="F401" t="s">
        <v>488</v>
      </c>
      <c r="G401" t="s">
        <v>495</v>
      </c>
      <c r="H401" t="str">
        <f t="shared" si="40"/>
        <v>Outras Receitas</v>
      </c>
      <c r="I401" t="s">
        <v>507</v>
      </c>
      <c r="J401" s="4">
        <v>380</v>
      </c>
      <c r="K401" s="4">
        <f t="shared" si="41"/>
        <v>11956</v>
      </c>
    </row>
    <row r="402" spans="1:11" x14ac:dyDescent="0.25">
      <c r="A402" t="s">
        <v>315</v>
      </c>
      <c r="B402">
        <f t="shared" si="36"/>
        <v>2024</v>
      </c>
      <c r="C402" t="str">
        <f t="shared" si="37"/>
        <v>nov</v>
      </c>
      <c r="D402" t="str">
        <f t="shared" si="38"/>
        <v>Novembro</v>
      </c>
      <c r="E402">
        <f t="shared" si="39"/>
        <v>23</v>
      </c>
      <c r="F402" t="s">
        <v>489</v>
      </c>
      <c r="G402" t="s">
        <v>492</v>
      </c>
      <c r="H402" t="str">
        <f t="shared" si="40"/>
        <v/>
      </c>
      <c r="I402" t="s">
        <v>504</v>
      </c>
      <c r="J402" s="4">
        <v>2000</v>
      </c>
      <c r="K402" s="4">
        <f t="shared" si="41"/>
        <v>9956</v>
      </c>
    </row>
    <row r="403" spans="1:11" x14ac:dyDescent="0.25">
      <c r="A403" t="s">
        <v>315</v>
      </c>
      <c r="B403">
        <f t="shared" si="36"/>
        <v>2024</v>
      </c>
      <c r="C403" t="str">
        <f t="shared" si="37"/>
        <v>nov</v>
      </c>
      <c r="D403" t="str">
        <f t="shared" si="38"/>
        <v>Novembro</v>
      </c>
      <c r="E403">
        <f t="shared" si="39"/>
        <v>23</v>
      </c>
      <c r="F403" t="s">
        <v>489</v>
      </c>
      <c r="G403" t="s">
        <v>492</v>
      </c>
      <c r="H403" t="str">
        <f t="shared" si="40"/>
        <v/>
      </c>
      <c r="I403" t="s">
        <v>508</v>
      </c>
      <c r="J403" s="4">
        <v>329</v>
      </c>
      <c r="K403" s="4">
        <f t="shared" si="41"/>
        <v>9627</v>
      </c>
    </row>
    <row r="404" spans="1:11" x14ac:dyDescent="0.25">
      <c r="A404" t="s">
        <v>316</v>
      </c>
      <c r="B404">
        <f t="shared" si="36"/>
        <v>2024</v>
      </c>
      <c r="C404" t="str">
        <f t="shared" si="37"/>
        <v>nov</v>
      </c>
      <c r="D404" t="str">
        <f t="shared" si="38"/>
        <v>Novembro</v>
      </c>
      <c r="E404">
        <f t="shared" si="39"/>
        <v>24</v>
      </c>
      <c r="F404" t="s">
        <v>489</v>
      </c>
      <c r="G404" t="s">
        <v>493</v>
      </c>
      <c r="H404" t="str">
        <f t="shared" si="40"/>
        <v/>
      </c>
      <c r="I404" t="s">
        <v>533</v>
      </c>
      <c r="J404" s="4">
        <v>665</v>
      </c>
      <c r="K404" s="4">
        <f t="shared" si="41"/>
        <v>8962</v>
      </c>
    </row>
    <row r="405" spans="1:11" x14ac:dyDescent="0.25">
      <c r="A405" t="s">
        <v>317</v>
      </c>
      <c r="B405">
        <f t="shared" si="36"/>
        <v>2024</v>
      </c>
      <c r="C405" t="str">
        <f t="shared" si="37"/>
        <v>nov</v>
      </c>
      <c r="D405" t="str">
        <f t="shared" si="38"/>
        <v>Novembro</v>
      </c>
      <c r="E405">
        <f t="shared" si="39"/>
        <v>27</v>
      </c>
      <c r="F405" t="s">
        <v>489</v>
      </c>
      <c r="G405" t="s">
        <v>492</v>
      </c>
      <c r="H405" t="str">
        <f t="shared" si="40"/>
        <v/>
      </c>
      <c r="I405" t="s">
        <v>510</v>
      </c>
      <c r="J405" s="4">
        <v>692</v>
      </c>
      <c r="K405" s="4">
        <f t="shared" si="41"/>
        <v>8270</v>
      </c>
    </row>
    <row r="406" spans="1:11" x14ac:dyDescent="0.25">
      <c r="A406" t="s">
        <v>318</v>
      </c>
      <c r="B406">
        <f t="shared" si="36"/>
        <v>2024</v>
      </c>
      <c r="C406" t="str">
        <f t="shared" si="37"/>
        <v>nov</v>
      </c>
      <c r="D406" t="str">
        <f t="shared" si="38"/>
        <v>Novembro</v>
      </c>
      <c r="E406">
        <f t="shared" si="39"/>
        <v>28</v>
      </c>
      <c r="F406" t="s">
        <v>489</v>
      </c>
      <c r="G406" t="s">
        <v>493</v>
      </c>
      <c r="H406" t="str">
        <f t="shared" si="40"/>
        <v/>
      </c>
      <c r="I406" t="s">
        <v>505</v>
      </c>
      <c r="J406" s="4">
        <v>104</v>
      </c>
      <c r="K406" s="4">
        <f t="shared" si="41"/>
        <v>8166</v>
      </c>
    </row>
    <row r="407" spans="1:11" x14ac:dyDescent="0.25">
      <c r="A407" t="s">
        <v>318</v>
      </c>
      <c r="B407">
        <f t="shared" si="36"/>
        <v>2024</v>
      </c>
      <c r="C407" t="str">
        <f t="shared" si="37"/>
        <v>nov</v>
      </c>
      <c r="D407" t="str">
        <f t="shared" si="38"/>
        <v>Novembro</v>
      </c>
      <c r="E407">
        <f t="shared" si="39"/>
        <v>28</v>
      </c>
      <c r="F407" t="s">
        <v>489</v>
      </c>
      <c r="G407" t="s">
        <v>496</v>
      </c>
      <c r="H407" t="str">
        <f t="shared" si="40"/>
        <v/>
      </c>
      <c r="I407" t="s">
        <v>515</v>
      </c>
      <c r="J407" s="4">
        <v>1077</v>
      </c>
      <c r="K407" s="4">
        <f t="shared" si="41"/>
        <v>7089</v>
      </c>
    </row>
    <row r="408" spans="1:11" x14ac:dyDescent="0.25">
      <c r="A408" t="s">
        <v>319</v>
      </c>
      <c r="B408">
        <f t="shared" si="36"/>
        <v>2024</v>
      </c>
      <c r="C408" t="str">
        <f t="shared" si="37"/>
        <v>dez</v>
      </c>
      <c r="D408" t="str">
        <f t="shared" si="38"/>
        <v>Dezembro</v>
      </c>
      <c r="E408">
        <f t="shared" si="39"/>
        <v>1</v>
      </c>
      <c r="F408" t="s">
        <v>488</v>
      </c>
      <c r="G408" t="s">
        <v>490</v>
      </c>
      <c r="H408" t="str">
        <f t="shared" si="40"/>
        <v>Salário</v>
      </c>
      <c r="I408" t="s">
        <v>500</v>
      </c>
      <c r="J408" s="4">
        <v>7048</v>
      </c>
      <c r="K408" s="4">
        <f t="shared" si="41"/>
        <v>14137</v>
      </c>
    </row>
    <row r="409" spans="1:11" x14ac:dyDescent="0.25">
      <c r="A409" t="s">
        <v>320</v>
      </c>
      <c r="B409">
        <f t="shared" si="36"/>
        <v>2024</v>
      </c>
      <c r="C409" t="str">
        <f t="shared" si="37"/>
        <v>dez</v>
      </c>
      <c r="D409" t="str">
        <f t="shared" si="38"/>
        <v>Dezembro</v>
      </c>
      <c r="E409">
        <f t="shared" si="39"/>
        <v>4</v>
      </c>
      <c r="F409" t="s">
        <v>488</v>
      </c>
      <c r="G409" t="s">
        <v>495</v>
      </c>
      <c r="H409" t="str">
        <f t="shared" si="40"/>
        <v>Outras Receitas</v>
      </c>
      <c r="I409" t="s">
        <v>507</v>
      </c>
      <c r="J409" s="4">
        <v>401</v>
      </c>
      <c r="K409" s="4">
        <f t="shared" si="41"/>
        <v>14538</v>
      </c>
    </row>
    <row r="410" spans="1:11" x14ac:dyDescent="0.25">
      <c r="A410" t="s">
        <v>320</v>
      </c>
      <c r="B410">
        <f t="shared" si="36"/>
        <v>2024</v>
      </c>
      <c r="C410" t="str">
        <f t="shared" si="37"/>
        <v>dez</v>
      </c>
      <c r="D410" t="str">
        <f t="shared" si="38"/>
        <v>Dezembro</v>
      </c>
      <c r="E410">
        <f t="shared" si="39"/>
        <v>4</v>
      </c>
      <c r="F410" t="s">
        <v>489</v>
      </c>
      <c r="G410" t="s">
        <v>493</v>
      </c>
      <c r="H410" t="str">
        <f t="shared" si="40"/>
        <v/>
      </c>
      <c r="I410" t="s">
        <v>533</v>
      </c>
      <c r="J410" s="4">
        <v>809</v>
      </c>
      <c r="K410" s="4">
        <f t="shared" si="41"/>
        <v>13729</v>
      </c>
    </row>
    <row r="411" spans="1:11" x14ac:dyDescent="0.25">
      <c r="A411" t="s">
        <v>321</v>
      </c>
      <c r="B411">
        <f t="shared" si="36"/>
        <v>2024</v>
      </c>
      <c r="C411" t="str">
        <f t="shared" si="37"/>
        <v>dez</v>
      </c>
      <c r="D411" t="str">
        <f t="shared" si="38"/>
        <v>Dezembro</v>
      </c>
      <c r="E411">
        <f t="shared" si="39"/>
        <v>6</v>
      </c>
      <c r="F411" t="s">
        <v>489</v>
      </c>
      <c r="G411" t="s">
        <v>493</v>
      </c>
      <c r="H411" t="str">
        <f t="shared" si="40"/>
        <v/>
      </c>
      <c r="I411" t="s">
        <v>516</v>
      </c>
      <c r="J411" s="4">
        <v>231</v>
      </c>
      <c r="K411" s="4">
        <f t="shared" si="41"/>
        <v>13498</v>
      </c>
    </row>
    <row r="412" spans="1:11" x14ac:dyDescent="0.25">
      <c r="A412" t="s">
        <v>322</v>
      </c>
      <c r="B412">
        <f t="shared" si="36"/>
        <v>2024</v>
      </c>
      <c r="C412" t="str">
        <f t="shared" si="37"/>
        <v>dez</v>
      </c>
      <c r="D412" t="str">
        <f t="shared" si="38"/>
        <v>Dezembro</v>
      </c>
      <c r="E412">
        <f t="shared" si="39"/>
        <v>7</v>
      </c>
      <c r="F412" t="s">
        <v>489</v>
      </c>
      <c r="G412" t="s">
        <v>492</v>
      </c>
      <c r="H412" t="str">
        <f t="shared" si="40"/>
        <v/>
      </c>
      <c r="I412" t="s">
        <v>514</v>
      </c>
      <c r="J412" s="4">
        <v>819</v>
      </c>
      <c r="K412" s="4">
        <f t="shared" si="41"/>
        <v>12679</v>
      </c>
    </row>
    <row r="413" spans="1:11" x14ac:dyDescent="0.25">
      <c r="A413" t="s">
        <v>323</v>
      </c>
      <c r="B413">
        <f t="shared" si="36"/>
        <v>2024</v>
      </c>
      <c r="C413" t="str">
        <f t="shared" si="37"/>
        <v>dez</v>
      </c>
      <c r="D413" t="str">
        <f t="shared" si="38"/>
        <v>Dezembro</v>
      </c>
      <c r="E413">
        <f t="shared" si="39"/>
        <v>10</v>
      </c>
      <c r="F413" t="s">
        <v>489</v>
      </c>
      <c r="G413" t="s">
        <v>493</v>
      </c>
      <c r="H413" t="str">
        <f t="shared" si="40"/>
        <v/>
      </c>
      <c r="I413" t="s">
        <v>528</v>
      </c>
      <c r="J413" s="4">
        <v>88</v>
      </c>
      <c r="K413" s="4">
        <f t="shared" si="41"/>
        <v>12591</v>
      </c>
    </row>
    <row r="414" spans="1:11" x14ac:dyDescent="0.25">
      <c r="A414" t="s">
        <v>323</v>
      </c>
      <c r="B414">
        <f t="shared" si="36"/>
        <v>2024</v>
      </c>
      <c r="C414" t="str">
        <f t="shared" si="37"/>
        <v>dez</v>
      </c>
      <c r="D414" t="str">
        <f t="shared" si="38"/>
        <v>Dezembro</v>
      </c>
      <c r="E414">
        <f t="shared" si="39"/>
        <v>10</v>
      </c>
      <c r="F414" t="s">
        <v>489</v>
      </c>
      <c r="G414" t="s">
        <v>492</v>
      </c>
      <c r="H414" t="str">
        <f t="shared" si="40"/>
        <v/>
      </c>
      <c r="I414" t="s">
        <v>503</v>
      </c>
      <c r="J414" s="4">
        <v>159</v>
      </c>
      <c r="K414" s="4">
        <f t="shared" si="41"/>
        <v>12432</v>
      </c>
    </row>
    <row r="415" spans="1:11" x14ac:dyDescent="0.25">
      <c r="A415" t="s">
        <v>323</v>
      </c>
      <c r="B415">
        <f t="shared" si="36"/>
        <v>2024</v>
      </c>
      <c r="C415" t="str">
        <f t="shared" si="37"/>
        <v>dez</v>
      </c>
      <c r="D415" t="str">
        <f t="shared" si="38"/>
        <v>Dezembro</v>
      </c>
      <c r="E415">
        <f t="shared" si="39"/>
        <v>10</v>
      </c>
      <c r="F415" t="s">
        <v>489</v>
      </c>
      <c r="G415" t="s">
        <v>492</v>
      </c>
      <c r="H415" t="str">
        <f t="shared" si="40"/>
        <v/>
      </c>
      <c r="I415" t="s">
        <v>517</v>
      </c>
      <c r="J415" s="4">
        <v>260</v>
      </c>
      <c r="K415" s="4">
        <f t="shared" si="41"/>
        <v>12172</v>
      </c>
    </row>
    <row r="416" spans="1:11" x14ac:dyDescent="0.25">
      <c r="A416" t="s">
        <v>324</v>
      </c>
      <c r="B416">
        <f t="shared" si="36"/>
        <v>2024</v>
      </c>
      <c r="C416" t="str">
        <f t="shared" si="37"/>
        <v>dez</v>
      </c>
      <c r="D416" t="str">
        <f t="shared" si="38"/>
        <v>Dezembro</v>
      </c>
      <c r="E416">
        <f t="shared" si="39"/>
        <v>11</v>
      </c>
      <c r="F416" t="s">
        <v>489</v>
      </c>
      <c r="G416" t="s">
        <v>498</v>
      </c>
      <c r="H416" t="str">
        <f t="shared" si="40"/>
        <v/>
      </c>
      <c r="I416" t="s">
        <v>512</v>
      </c>
      <c r="J416" s="4">
        <v>359</v>
      </c>
      <c r="K416" s="4">
        <f t="shared" si="41"/>
        <v>11813</v>
      </c>
    </row>
    <row r="417" spans="1:11" x14ac:dyDescent="0.25">
      <c r="A417" t="s">
        <v>325</v>
      </c>
      <c r="B417">
        <f t="shared" si="36"/>
        <v>2024</v>
      </c>
      <c r="C417" t="str">
        <f t="shared" si="37"/>
        <v>dez</v>
      </c>
      <c r="D417" t="str">
        <f t="shared" si="38"/>
        <v>Dezembro</v>
      </c>
      <c r="E417">
        <f t="shared" si="39"/>
        <v>12</v>
      </c>
      <c r="F417" t="s">
        <v>489</v>
      </c>
      <c r="G417" t="s">
        <v>497</v>
      </c>
      <c r="H417" t="str">
        <f t="shared" si="40"/>
        <v/>
      </c>
      <c r="I417" t="s">
        <v>520</v>
      </c>
      <c r="J417" s="4">
        <v>743</v>
      </c>
      <c r="K417" s="4">
        <f t="shared" si="41"/>
        <v>11070</v>
      </c>
    </row>
    <row r="418" spans="1:11" x14ac:dyDescent="0.25">
      <c r="A418" t="s">
        <v>326</v>
      </c>
      <c r="B418">
        <f t="shared" si="36"/>
        <v>2024</v>
      </c>
      <c r="C418" t="str">
        <f t="shared" si="37"/>
        <v>dez</v>
      </c>
      <c r="D418" t="str">
        <f t="shared" si="38"/>
        <v>Dezembro</v>
      </c>
      <c r="E418">
        <f t="shared" si="39"/>
        <v>13</v>
      </c>
      <c r="F418" t="s">
        <v>489</v>
      </c>
      <c r="G418" t="s">
        <v>492</v>
      </c>
      <c r="H418" t="str">
        <f t="shared" si="40"/>
        <v/>
      </c>
      <c r="I418" t="s">
        <v>508</v>
      </c>
      <c r="J418" s="4">
        <v>326</v>
      </c>
      <c r="K418" s="4">
        <f t="shared" si="41"/>
        <v>10744</v>
      </c>
    </row>
    <row r="419" spans="1:11" x14ac:dyDescent="0.25">
      <c r="A419" t="s">
        <v>327</v>
      </c>
      <c r="B419">
        <f t="shared" si="36"/>
        <v>2024</v>
      </c>
      <c r="C419" t="str">
        <f t="shared" si="37"/>
        <v>dez</v>
      </c>
      <c r="D419" t="str">
        <f t="shared" si="38"/>
        <v>Dezembro</v>
      </c>
      <c r="E419">
        <f t="shared" si="39"/>
        <v>15</v>
      </c>
      <c r="F419" t="s">
        <v>489</v>
      </c>
      <c r="G419" t="s">
        <v>492</v>
      </c>
      <c r="H419" t="str">
        <f t="shared" si="40"/>
        <v/>
      </c>
      <c r="I419" t="s">
        <v>504</v>
      </c>
      <c r="J419" s="4">
        <v>2000</v>
      </c>
      <c r="K419" s="4">
        <f t="shared" si="41"/>
        <v>8744</v>
      </c>
    </row>
    <row r="420" spans="1:11" x14ac:dyDescent="0.25">
      <c r="A420" t="s">
        <v>328</v>
      </c>
      <c r="B420">
        <f t="shared" si="36"/>
        <v>2024</v>
      </c>
      <c r="C420" t="str">
        <f t="shared" si="37"/>
        <v>dez</v>
      </c>
      <c r="D420" t="str">
        <f t="shared" si="38"/>
        <v>Dezembro</v>
      </c>
      <c r="E420">
        <f t="shared" si="39"/>
        <v>16</v>
      </c>
      <c r="F420" t="s">
        <v>489</v>
      </c>
      <c r="G420" t="s">
        <v>493</v>
      </c>
      <c r="H420" t="str">
        <f t="shared" si="40"/>
        <v/>
      </c>
      <c r="I420" t="s">
        <v>518</v>
      </c>
      <c r="J420" s="4">
        <v>596</v>
      </c>
      <c r="K420" s="4">
        <f t="shared" si="41"/>
        <v>8148</v>
      </c>
    </row>
    <row r="421" spans="1:11" x14ac:dyDescent="0.25">
      <c r="A421" t="s">
        <v>329</v>
      </c>
      <c r="B421">
        <f t="shared" si="36"/>
        <v>2024</v>
      </c>
      <c r="C421" t="str">
        <f t="shared" si="37"/>
        <v>dez</v>
      </c>
      <c r="D421" t="str">
        <f t="shared" si="38"/>
        <v>Dezembro</v>
      </c>
      <c r="E421">
        <f t="shared" si="39"/>
        <v>17</v>
      </c>
      <c r="F421" t="s">
        <v>489</v>
      </c>
      <c r="G421" t="s">
        <v>498</v>
      </c>
      <c r="H421" t="str">
        <f t="shared" si="40"/>
        <v/>
      </c>
      <c r="I421" t="s">
        <v>513</v>
      </c>
      <c r="J421" s="4">
        <v>1357</v>
      </c>
      <c r="K421" s="4">
        <f t="shared" si="41"/>
        <v>6791</v>
      </c>
    </row>
    <row r="422" spans="1:11" x14ac:dyDescent="0.25">
      <c r="A422" t="s">
        <v>330</v>
      </c>
      <c r="B422">
        <f t="shared" si="36"/>
        <v>2024</v>
      </c>
      <c r="C422" t="str">
        <f t="shared" si="37"/>
        <v>dez</v>
      </c>
      <c r="D422" t="str">
        <f t="shared" si="38"/>
        <v>Dezembro</v>
      </c>
      <c r="E422">
        <f t="shared" si="39"/>
        <v>25</v>
      </c>
      <c r="F422" t="s">
        <v>488</v>
      </c>
      <c r="G422" t="s">
        <v>491</v>
      </c>
      <c r="H422" t="str">
        <f t="shared" si="40"/>
        <v>Outras Receitas</v>
      </c>
      <c r="I422" t="s">
        <v>501</v>
      </c>
      <c r="J422" s="4">
        <v>869</v>
      </c>
      <c r="K422" s="4">
        <f t="shared" si="41"/>
        <v>7660</v>
      </c>
    </row>
    <row r="423" spans="1:11" x14ac:dyDescent="0.25">
      <c r="A423" t="s">
        <v>331</v>
      </c>
      <c r="B423">
        <f t="shared" si="36"/>
        <v>2024</v>
      </c>
      <c r="C423" t="str">
        <f t="shared" si="37"/>
        <v>dez</v>
      </c>
      <c r="D423" t="str">
        <f t="shared" si="38"/>
        <v>Dezembro</v>
      </c>
      <c r="E423">
        <f t="shared" si="39"/>
        <v>27</v>
      </c>
      <c r="F423" t="s">
        <v>489</v>
      </c>
      <c r="G423" t="s">
        <v>492</v>
      </c>
      <c r="H423" t="str">
        <f t="shared" si="40"/>
        <v/>
      </c>
      <c r="I423" t="s">
        <v>502</v>
      </c>
      <c r="J423" s="4">
        <v>184</v>
      </c>
      <c r="K423" s="4">
        <f t="shared" si="41"/>
        <v>7476</v>
      </c>
    </row>
    <row r="424" spans="1:11" x14ac:dyDescent="0.25">
      <c r="A424" t="s">
        <v>332</v>
      </c>
      <c r="B424">
        <f t="shared" si="36"/>
        <v>2025</v>
      </c>
      <c r="C424" t="str">
        <f t="shared" si="37"/>
        <v>jan</v>
      </c>
      <c r="D424" t="str">
        <f t="shared" si="38"/>
        <v>Janeiro</v>
      </c>
      <c r="E424">
        <f t="shared" si="39"/>
        <v>1</v>
      </c>
      <c r="F424" t="s">
        <v>488</v>
      </c>
      <c r="G424" t="s">
        <v>490</v>
      </c>
      <c r="H424" t="str">
        <f t="shared" si="40"/>
        <v>Salário</v>
      </c>
      <c r="I424" t="s">
        <v>500</v>
      </c>
      <c r="J424" s="4">
        <v>7264</v>
      </c>
      <c r="K424" s="4">
        <f t="shared" si="41"/>
        <v>14740</v>
      </c>
    </row>
    <row r="425" spans="1:11" x14ac:dyDescent="0.25">
      <c r="A425" t="s">
        <v>333</v>
      </c>
      <c r="B425">
        <f t="shared" si="36"/>
        <v>2025</v>
      </c>
      <c r="C425" t="str">
        <f t="shared" si="37"/>
        <v>jan</v>
      </c>
      <c r="D425" t="str">
        <f t="shared" si="38"/>
        <v>Janeiro</v>
      </c>
      <c r="E425">
        <f t="shared" si="39"/>
        <v>3</v>
      </c>
      <c r="F425" t="s">
        <v>489</v>
      </c>
      <c r="G425" t="s">
        <v>492</v>
      </c>
      <c r="H425" t="str">
        <f t="shared" si="40"/>
        <v/>
      </c>
      <c r="I425" t="s">
        <v>517</v>
      </c>
      <c r="J425" s="4">
        <v>261</v>
      </c>
      <c r="K425" s="4">
        <f t="shared" si="41"/>
        <v>14479</v>
      </c>
    </row>
    <row r="426" spans="1:11" x14ac:dyDescent="0.25">
      <c r="A426" t="s">
        <v>334</v>
      </c>
      <c r="B426">
        <f t="shared" si="36"/>
        <v>2025</v>
      </c>
      <c r="C426" t="str">
        <f t="shared" si="37"/>
        <v>jan</v>
      </c>
      <c r="D426" t="str">
        <f t="shared" si="38"/>
        <v>Janeiro</v>
      </c>
      <c r="E426">
        <f t="shared" si="39"/>
        <v>5</v>
      </c>
      <c r="F426" t="s">
        <v>489</v>
      </c>
      <c r="G426" t="s">
        <v>498</v>
      </c>
      <c r="H426" t="str">
        <f t="shared" si="40"/>
        <v/>
      </c>
      <c r="I426" t="s">
        <v>512</v>
      </c>
      <c r="J426" s="4">
        <v>256</v>
      </c>
      <c r="K426" s="4">
        <f t="shared" si="41"/>
        <v>14223</v>
      </c>
    </row>
    <row r="427" spans="1:11" x14ac:dyDescent="0.25">
      <c r="A427" t="s">
        <v>334</v>
      </c>
      <c r="B427">
        <f t="shared" si="36"/>
        <v>2025</v>
      </c>
      <c r="C427" t="str">
        <f t="shared" si="37"/>
        <v>jan</v>
      </c>
      <c r="D427" t="str">
        <f t="shared" si="38"/>
        <v>Janeiro</v>
      </c>
      <c r="E427">
        <f t="shared" si="39"/>
        <v>5</v>
      </c>
      <c r="F427" t="s">
        <v>488</v>
      </c>
      <c r="G427" t="s">
        <v>491</v>
      </c>
      <c r="H427" t="str">
        <f t="shared" si="40"/>
        <v>Outras Receitas</v>
      </c>
      <c r="I427" t="s">
        <v>501</v>
      </c>
      <c r="J427" s="4">
        <v>1982</v>
      </c>
      <c r="K427" s="4">
        <f t="shared" si="41"/>
        <v>16205</v>
      </c>
    </row>
    <row r="428" spans="1:11" x14ac:dyDescent="0.25">
      <c r="A428" t="s">
        <v>335</v>
      </c>
      <c r="B428">
        <f t="shared" si="36"/>
        <v>2025</v>
      </c>
      <c r="C428" t="str">
        <f t="shared" si="37"/>
        <v>jan</v>
      </c>
      <c r="D428" t="str">
        <f t="shared" si="38"/>
        <v>Janeiro</v>
      </c>
      <c r="E428">
        <f t="shared" si="39"/>
        <v>9</v>
      </c>
      <c r="F428" t="s">
        <v>489</v>
      </c>
      <c r="G428" t="s">
        <v>492</v>
      </c>
      <c r="H428" t="str">
        <f t="shared" si="40"/>
        <v/>
      </c>
      <c r="I428" t="s">
        <v>514</v>
      </c>
      <c r="J428" s="4">
        <v>940</v>
      </c>
      <c r="K428" s="4">
        <f t="shared" si="41"/>
        <v>15265</v>
      </c>
    </row>
    <row r="429" spans="1:11" x14ac:dyDescent="0.25">
      <c r="A429" t="s">
        <v>335</v>
      </c>
      <c r="B429">
        <f t="shared" si="36"/>
        <v>2025</v>
      </c>
      <c r="C429" t="str">
        <f t="shared" si="37"/>
        <v>jan</v>
      </c>
      <c r="D429" t="str">
        <f t="shared" si="38"/>
        <v>Janeiro</v>
      </c>
      <c r="E429">
        <f t="shared" si="39"/>
        <v>9</v>
      </c>
      <c r="F429" t="s">
        <v>488</v>
      </c>
      <c r="G429" t="s">
        <v>495</v>
      </c>
      <c r="H429" t="str">
        <f t="shared" si="40"/>
        <v>Outras Receitas</v>
      </c>
      <c r="I429" t="s">
        <v>507</v>
      </c>
      <c r="J429" s="4">
        <v>491</v>
      </c>
      <c r="K429" s="4">
        <f t="shared" si="41"/>
        <v>15756</v>
      </c>
    </row>
    <row r="430" spans="1:11" x14ac:dyDescent="0.25">
      <c r="A430" t="s">
        <v>336</v>
      </c>
      <c r="B430">
        <f t="shared" si="36"/>
        <v>2025</v>
      </c>
      <c r="C430" t="str">
        <f t="shared" si="37"/>
        <v>jan</v>
      </c>
      <c r="D430" t="str">
        <f t="shared" si="38"/>
        <v>Janeiro</v>
      </c>
      <c r="E430">
        <f t="shared" si="39"/>
        <v>11</v>
      </c>
      <c r="F430" t="s">
        <v>489</v>
      </c>
      <c r="G430" t="s">
        <v>498</v>
      </c>
      <c r="H430" t="str">
        <f t="shared" si="40"/>
        <v/>
      </c>
      <c r="I430" t="s">
        <v>513</v>
      </c>
      <c r="J430" s="4">
        <v>1373</v>
      </c>
      <c r="K430" s="4">
        <f t="shared" si="41"/>
        <v>14383</v>
      </c>
    </row>
    <row r="431" spans="1:11" x14ac:dyDescent="0.25">
      <c r="A431" t="s">
        <v>337</v>
      </c>
      <c r="B431">
        <f t="shared" si="36"/>
        <v>2025</v>
      </c>
      <c r="C431" t="str">
        <f t="shared" si="37"/>
        <v>jan</v>
      </c>
      <c r="D431" t="str">
        <f t="shared" si="38"/>
        <v>Janeiro</v>
      </c>
      <c r="E431">
        <f t="shared" si="39"/>
        <v>15</v>
      </c>
      <c r="F431" t="s">
        <v>489</v>
      </c>
      <c r="G431" t="s">
        <v>492</v>
      </c>
      <c r="H431" t="str">
        <f t="shared" si="40"/>
        <v/>
      </c>
      <c r="I431" t="s">
        <v>503</v>
      </c>
      <c r="J431" s="4">
        <v>119</v>
      </c>
      <c r="K431" s="4">
        <f t="shared" si="41"/>
        <v>14264</v>
      </c>
    </row>
    <row r="432" spans="1:11" x14ac:dyDescent="0.25">
      <c r="A432" t="s">
        <v>338</v>
      </c>
      <c r="B432">
        <f t="shared" si="36"/>
        <v>2025</v>
      </c>
      <c r="C432" t="str">
        <f t="shared" si="37"/>
        <v>jan</v>
      </c>
      <c r="D432" t="str">
        <f t="shared" si="38"/>
        <v>Janeiro</v>
      </c>
      <c r="E432">
        <f t="shared" si="39"/>
        <v>16</v>
      </c>
      <c r="F432" t="s">
        <v>489</v>
      </c>
      <c r="G432" t="s">
        <v>493</v>
      </c>
      <c r="H432" t="str">
        <f t="shared" si="40"/>
        <v/>
      </c>
      <c r="I432" t="s">
        <v>518</v>
      </c>
      <c r="J432" s="4">
        <v>409</v>
      </c>
      <c r="K432" s="4">
        <f t="shared" si="41"/>
        <v>13855</v>
      </c>
    </row>
    <row r="433" spans="1:11" x14ac:dyDescent="0.25">
      <c r="A433" t="s">
        <v>339</v>
      </c>
      <c r="B433">
        <f t="shared" si="36"/>
        <v>2025</v>
      </c>
      <c r="C433" t="str">
        <f t="shared" si="37"/>
        <v>jan</v>
      </c>
      <c r="D433" t="str">
        <f t="shared" si="38"/>
        <v>Janeiro</v>
      </c>
      <c r="E433">
        <f t="shared" si="39"/>
        <v>19</v>
      </c>
      <c r="F433" t="s">
        <v>489</v>
      </c>
      <c r="G433" t="s">
        <v>497</v>
      </c>
      <c r="H433" t="str">
        <f t="shared" si="40"/>
        <v/>
      </c>
      <c r="I433" t="s">
        <v>520</v>
      </c>
      <c r="J433" s="4">
        <v>649</v>
      </c>
      <c r="K433" s="4">
        <f t="shared" si="41"/>
        <v>13206</v>
      </c>
    </row>
    <row r="434" spans="1:11" x14ac:dyDescent="0.25">
      <c r="A434" t="s">
        <v>339</v>
      </c>
      <c r="B434">
        <f t="shared" si="36"/>
        <v>2025</v>
      </c>
      <c r="C434" t="str">
        <f t="shared" si="37"/>
        <v>jan</v>
      </c>
      <c r="D434" t="str">
        <f t="shared" si="38"/>
        <v>Janeiro</v>
      </c>
      <c r="E434">
        <f t="shared" si="39"/>
        <v>19</v>
      </c>
      <c r="F434" t="s">
        <v>488</v>
      </c>
      <c r="G434" t="s">
        <v>494</v>
      </c>
      <c r="H434" t="str">
        <f t="shared" si="40"/>
        <v>Outras Receitas</v>
      </c>
      <c r="I434" t="s">
        <v>506</v>
      </c>
      <c r="J434" s="4">
        <v>971</v>
      </c>
      <c r="K434" s="4">
        <f t="shared" si="41"/>
        <v>14177</v>
      </c>
    </row>
    <row r="435" spans="1:11" x14ac:dyDescent="0.25">
      <c r="A435" t="s">
        <v>340</v>
      </c>
      <c r="B435">
        <f t="shared" si="36"/>
        <v>2025</v>
      </c>
      <c r="C435" t="str">
        <f t="shared" si="37"/>
        <v>jan</v>
      </c>
      <c r="D435" t="str">
        <f t="shared" si="38"/>
        <v>Janeiro</v>
      </c>
      <c r="E435">
        <f t="shared" si="39"/>
        <v>21</v>
      </c>
      <c r="F435" t="s">
        <v>489</v>
      </c>
      <c r="G435" t="s">
        <v>492</v>
      </c>
      <c r="H435" t="str">
        <f t="shared" si="40"/>
        <v/>
      </c>
      <c r="I435" t="s">
        <v>504</v>
      </c>
      <c r="J435" s="4">
        <v>2000</v>
      </c>
      <c r="K435" s="4">
        <f t="shared" si="41"/>
        <v>12177</v>
      </c>
    </row>
    <row r="436" spans="1:11" x14ac:dyDescent="0.25">
      <c r="A436" t="s">
        <v>341</v>
      </c>
      <c r="B436">
        <f t="shared" si="36"/>
        <v>2025</v>
      </c>
      <c r="C436" t="str">
        <f t="shared" si="37"/>
        <v>jan</v>
      </c>
      <c r="D436" t="str">
        <f t="shared" si="38"/>
        <v>Janeiro</v>
      </c>
      <c r="E436">
        <f t="shared" si="39"/>
        <v>22</v>
      </c>
      <c r="F436" t="s">
        <v>489</v>
      </c>
      <c r="G436" t="s">
        <v>492</v>
      </c>
      <c r="H436" t="str">
        <f t="shared" si="40"/>
        <v/>
      </c>
      <c r="I436" t="s">
        <v>502</v>
      </c>
      <c r="J436" s="4">
        <v>209</v>
      </c>
      <c r="K436" s="4">
        <f t="shared" si="41"/>
        <v>11968</v>
      </c>
    </row>
    <row r="437" spans="1:11" x14ac:dyDescent="0.25">
      <c r="A437" t="s">
        <v>342</v>
      </c>
      <c r="B437">
        <f t="shared" si="36"/>
        <v>2025</v>
      </c>
      <c r="C437" t="str">
        <f t="shared" si="37"/>
        <v>jan</v>
      </c>
      <c r="D437" t="str">
        <f t="shared" si="38"/>
        <v>Janeiro</v>
      </c>
      <c r="E437">
        <f t="shared" si="39"/>
        <v>24</v>
      </c>
      <c r="F437" t="s">
        <v>489</v>
      </c>
      <c r="G437" t="s">
        <v>492</v>
      </c>
      <c r="H437" t="str">
        <f t="shared" si="40"/>
        <v/>
      </c>
      <c r="I437" t="s">
        <v>508</v>
      </c>
      <c r="J437" s="4">
        <v>282</v>
      </c>
      <c r="K437" s="4">
        <f t="shared" si="41"/>
        <v>11686</v>
      </c>
    </row>
    <row r="438" spans="1:11" x14ac:dyDescent="0.25">
      <c r="A438" t="s">
        <v>343</v>
      </c>
      <c r="B438">
        <f t="shared" si="36"/>
        <v>2025</v>
      </c>
      <c r="C438" t="str">
        <f t="shared" si="37"/>
        <v>jan</v>
      </c>
      <c r="D438" t="str">
        <f t="shared" si="38"/>
        <v>Janeiro</v>
      </c>
      <c r="E438">
        <f t="shared" si="39"/>
        <v>25</v>
      </c>
      <c r="F438" t="s">
        <v>489</v>
      </c>
      <c r="G438" t="s">
        <v>493</v>
      </c>
      <c r="H438" t="str">
        <f t="shared" si="40"/>
        <v/>
      </c>
      <c r="I438" t="s">
        <v>516</v>
      </c>
      <c r="J438" s="4">
        <v>229</v>
      </c>
      <c r="K438" s="4">
        <f t="shared" si="41"/>
        <v>11457</v>
      </c>
    </row>
    <row r="439" spans="1:11" x14ac:dyDescent="0.25">
      <c r="A439" t="s">
        <v>344</v>
      </c>
      <c r="B439">
        <f t="shared" si="36"/>
        <v>2025</v>
      </c>
      <c r="C439" t="str">
        <f t="shared" si="37"/>
        <v>fev</v>
      </c>
      <c r="D439" t="str">
        <f t="shared" si="38"/>
        <v>Fevereiro</v>
      </c>
      <c r="E439">
        <f t="shared" si="39"/>
        <v>1</v>
      </c>
      <c r="F439" t="s">
        <v>488</v>
      </c>
      <c r="G439" t="s">
        <v>490</v>
      </c>
      <c r="H439" t="str">
        <f t="shared" si="40"/>
        <v>Salário</v>
      </c>
      <c r="I439" t="s">
        <v>500</v>
      </c>
      <c r="J439" s="4">
        <v>7263</v>
      </c>
      <c r="K439" s="4">
        <f t="shared" si="41"/>
        <v>18720</v>
      </c>
    </row>
    <row r="440" spans="1:11" x14ac:dyDescent="0.25">
      <c r="A440" t="s">
        <v>345</v>
      </c>
      <c r="B440">
        <f t="shared" ref="B440:B502" si="42">YEAR(A440)</f>
        <v>2025</v>
      </c>
      <c r="C440" t="str">
        <f t="shared" ref="C440:C502" si="43">TEXT(A440,"mmm")</f>
        <v>fev</v>
      </c>
      <c r="D440" t="str">
        <f t="shared" ref="D440:D502" si="44">PROPER(TEXT(A440,"Mmmm"))</f>
        <v>Fevereiro</v>
      </c>
      <c r="E440">
        <f t="shared" si="39"/>
        <v>2</v>
      </c>
      <c r="F440" t="s">
        <v>489</v>
      </c>
      <c r="G440" t="s">
        <v>493</v>
      </c>
      <c r="H440" t="str">
        <f t="shared" si="40"/>
        <v/>
      </c>
      <c r="I440" t="s">
        <v>518</v>
      </c>
      <c r="J440" s="4">
        <v>308</v>
      </c>
      <c r="K440" s="4">
        <f t="shared" si="41"/>
        <v>18412</v>
      </c>
    </row>
    <row r="441" spans="1:11" x14ac:dyDescent="0.25">
      <c r="A441" t="s">
        <v>346</v>
      </c>
      <c r="B441">
        <f t="shared" si="42"/>
        <v>2025</v>
      </c>
      <c r="C441" t="str">
        <f t="shared" si="43"/>
        <v>fev</v>
      </c>
      <c r="D441" t="str">
        <f t="shared" si="44"/>
        <v>Fevereiro</v>
      </c>
      <c r="E441">
        <f t="shared" si="39"/>
        <v>5</v>
      </c>
      <c r="F441" t="s">
        <v>489</v>
      </c>
      <c r="G441" t="s">
        <v>492</v>
      </c>
      <c r="H441" t="str">
        <f t="shared" si="40"/>
        <v/>
      </c>
      <c r="I441" t="s">
        <v>523</v>
      </c>
      <c r="J441" s="4">
        <v>417</v>
      </c>
      <c r="K441" s="4">
        <f t="shared" si="41"/>
        <v>17995</v>
      </c>
    </row>
    <row r="442" spans="1:11" x14ac:dyDescent="0.25">
      <c r="A442" t="s">
        <v>346</v>
      </c>
      <c r="B442">
        <f t="shared" si="42"/>
        <v>2025</v>
      </c>
      <c r="C442" t="str">
        <f t="shared" si="43"/>
        <v>fev</v>
      </c>
      <c r="D442" t="str">
        <f t="shared" si="44"/>
        <v>Fevereiro</v>
      </c>
      <c r="E442">
        <f t="shared" si="39"/>
        <v>5</v>
      </c>
      <c r="F442" t="s">
        <v>489</v>
      </c>
      <c r="G442" t="s">
        <v>492</v>
      </c>
      <c r="H442" t="str">
        <f t="shared" si="40"/>
        <v/>
      </c>
      <c r="I442" t="s">
        <v>514</v>
      </c>
      <c r="J442" s="4">
        <v>1030</v>
      </c>
      <c r="K442" s="4">
        <f t="shared" si="41"/>
        <v>16965</v>
      </c>
    </row>
    <row r="443" spans="1:11" x14ac:dyDescent="0.25">
      <c r="A443" t="s">
        <v>346</v>
      </c>
      <c r="B443">
        <f t="shared" si="42"/>
        <v>2025</v>
      </c>
      <c r="C443" t="str">
        <f t="shared" si="43"/>
        <v>fev</v>
      </c>
      <c r="D443" t="str">
        <f t="shared" si="44"/>
        <v>Fevereiro</v>
      </c>
      <c r="E443">
        <f t="shared" si="39"/>
        <v>5</v>
      </c>
      <c r="F443" t="s">
        <v>489</v>
      </c>
      <c r="G443" t="s">
        <v>492</v>
      </c>
      <c r="H443" t="str">
        <f t="shared" si="40"/>
        <v/>
      </c>
      <c r="I443" t="s">
        <v>517</v>
      </c>
      <c r="J443" s="4">
        <v>261</v>
      </c>
      <c r="K443" s="4">
        <f t="shared" si="41"/>
        <v>16704</v>
      </c>
    </row>
    <row r="444" spans="1:11" x14ac:dyDescent="0.25">
      <c r="A444" t="s">
        <v>347</v>
      </c>
      <c r="B444">
        <f t="shared" si="42"/>
        <v>2025</v>
      </c>
      <c r="C444" t="str">
        <f t="shared" si="43"/>
        <v>fev</v>
      </c>
      <c r="D444" t="str">
        <f t="shared" si="44"/>
        <v>Fevereiro</v>
      </c>
      <c r="E444">
        <f t="shared" si="39"/>
        <v>8</v>
      </c>
      <c r="F444" t="s">
        <v>489</v>
      </c>
      <c r="G444" t="s">
        <v>493</v>
      </c>
      <c r="H444" t="str">
        <f t="shared" si="40"/>
        <v/>
      </c>
      <c r="I444" t="s">
        <v>525</v>
      </c>
      <c r="J444" s="4">
        <v>1195</v>
      </c>
      <c r="K444" s="4">
        <f t="shared" si="41"/>
        <v>15509</v>
      </c>
    </row>
    <row r="445" spans="1:11" x14ac:dyDescent="0.25">
      <c r="A445" t="s">
        <v>348</v>
      </c>
      <c r="B445">
        <f t="shared" si="42"/>
        <v>2025</v>
      </c>
      <c r="C445" t="str">
        <f t="shared" si="43"/>
        <v>fev</v>
      </c>
      <c r="D445" t="str">
        <f t="shared" si="44"/>
        <v>Fevereiro</v>
      </c>
      <c r="E445">
        <f t="shared" si="39"/>
        <v>10</v>
      </c>
      <c r="F445" t="s">
        <v>488</v>
      </c>
      <c r="G445" t="s">
        <v>491</v>
      </c>
      <c r="H445" t="str">
        <f t="shared" si="40"/>
        <v>Outras Receitas</v>
      </c>
      <c r="I445" t="s">
        <v>501</v>
      </c>
      <c r="J445" s="4">
        <v>667</v>
      </c>
      <c r="K445" s="4">
        <f t="shared" si="41"/>
        <v>16176</v>
      </c>
    </row>
    <row r="446" spans="1:11" x14ac:dyDescent="0.25">
      <c r="A446" t="s">
        <v>348</v>
      </c>
      <c r="B446">
        <f t="shared" si="42"/>
        <v>2025</v>
      </c>
      <c r="C446" t="str">
        <f t="shared" si="43"/>
        <v>fev</v>
      </c>
      <c r="D446" t="str">
        <f t="shared" si="44"/>
        <v>Fevereiro</v>
      </c>
      <c r="E446">
        <f t="shared" si="39"/>
        <v>10</v>
      </c>
      <c r="F446" t="s">
        <v>489</v>
      </c>
      <c r="G446" t="s">
        <v>499</v>
      </c>
      <c r="H446" t="str">
        <f t="shared" si="40"/>
        <v/>
      </c>
      <c r="I446" t="s">
        <v>531</v>
      </c>
      <c r="J446" s="4">
        <v>65</v>
      </c>
      <c r="K446" s="4">
        <f t="shared" si="41"/>
        <v>16111</v>
      </c>
    </row>
    <row r="447" spans="1:11" x14ac:dyDescent="0.25">
      <c r="A447" t="s">
        <v>349</v>
      </c>
      <c r="B447">
        <f t="shared" si="42"/>
        <v>2025</v>
      </c>
      <c r="C447" t="str">
        <f t="shared" si="43"/>
        <v>fev</v>
      </c>
      <c r="D447" t="str">
        <f t="shared" si="44"/>
        <v>Fevereiro</v>
      </c>
      <c r="E447">
        <f t="shared" si="39"/>
        <v>12</v>
      </c>
      <c r="F447" t="s">
        <v>489</v>
      </c>
      <c r="G447" t="s">
        <v>493</v>
      </c>
      <c r="H447" t="str">
        <f t="shared" si="40"/>
        <v/>
      </c>
      <c r="I447" t="s">
        <v>516</v>
      </c>
      <c r="J447" s="4">
        <v>209</v>
      </c>
      <c r="K447" s="4">
        <f t="shared" si="41"/>
        <v>15902</v>
      </c>
    </row>
    <row r="448" spans="1:11" x14ac:dyDescent="0.25">
      <c r="A448" t="s">
        <v>350</v>
      </c>
      <c r="B448">
        <f t="shared" si="42"/>
        <v>2025</v>
      </c>
      <c r="C448" t="str">
        <f t="shared" si="43"/>
        <v>fev</v>
      </c>
      <c r="D448" t="str">
        <f t="shared" si="44"/>
        <v>Fevereiro</v>
      </c>
      <c r="E448">
        <f t="shared" si="39"/>
        <v>13</v>
      </c>
      <c r="F448" t="s">
        <v>489</v>
      </c>
      <c r="G448" t="s">
        <v>492</v>
      </c>
      <c r="H448" t="str">
        <f t="shared" si="40"/>
        <v/>
      </c>
      <c r="I448" t="s">
        <v>502</v>
      </c>
      <c r="J448" s="4">
        <v>184</v>
      </c>
      <c r="K448" s="4">
        <f t="shared" si="41"/>
        <v>15718</v>
      </c>
    </row>
    <row r="449" spans="1:11" x14ac:dyDescent="0.25">
      <c r="A449" t="s">
        <v>350</v>
      </c>
      <c r="B449">
        <f t="shared" si="42"/>
        <v>2025</v>
      </c>
      <c r="C449" t="str">
        <f t="shared" si="43"/>
        <v>fev</v>
      </c>
      <c r="D449" t="str">
        <f t="shared" si="44"/>
        <v>Fevereiro</v>
      </c>
      <c r="E449">
        <f t="shared" si="39"/>
        <v>13</v>
      </c>
      <c r="F449" t="s">
        <v>489</v>
      </c>
      <c r="G449" t="s">
        <v>492</v>
      </c>
      <c r="H449" t="str">
        <f t="shared" si="40"/>
        <v/>
      </c>
      <c r="I449" t="s">
        <v>504</v>
      </c>
      <c r="J449" s="4">
        <v>2000</v>
      </c>
      <c r="K449" s="4">
        <f t="shared" si="41"/>
        <v>13718</v>
      </c>
    </row>
    <row r="450" spans="1:11" x14ac:dyDescent="0.25">
      <c r="A450" t="s">
        <v>351</v>
      </c>
      <c r="B450">
        <f t="shared" si="42"/>
        <v>2025</v>
      </c>
      <c r="C450" t="str">
        <f t="shared" si="43"/>
        <v>fev</v>
      </c>
      <c r="D450" t="str">
        <f t="shared" si="44"/>
        <v>Fevereiro</v>
      </c>
      <c r="E450">
        <f t="shared" si="39"/>
        <v>14</v>
      </c>
      <c r="F450" t="s">
        <v>489</v>
      </c>
      <c r="G450" t="s">
        <v>492</v>
      </c>
      <c r="H450" t="str">
        <f t="shared" si="40"/>
        <v/>
      </c>
      <c r="I450" t="s">
        <v>503</v>
      </c>
      <c r="J450" s="4">
        <v>127</v>
      </c>
      <c r="K450" s="4">
        <f t="shared" si="41"/>
        <v>13591</v>
      </c>
    </row>
    <row r="451" spans="1:11" x14ac:dyDescent="0.25">
      <c r="A451" t="s">
        <v>352</v>
      </c>
      <c r="B451">
        <f t="shared" si="42"/>
        <v>2025</v>
      </c>
      <c r="C451" t="str">
        <f t="shared" si="43"/>
        <v>fev</v>
      </c>
      <c r="D451" t="str">
        <f t="shared" si="44"/>
        <v>Fevereiro</v>
      </c>
      <c r="E451">
        <f t="shared" ref="E451:E514" si="45">DAY(A451)</f>
        <v>16</v>
      </c>
      <c r="F451" t="s">
        <v>488</v>
      </c>
      <c r="G451" t="s">
        <v>494</v>
      </c>
      <c r="H451" t="str">
        <f t="shared" ref="H451:H514" si="46">IF(F451="Receita",IF(G451="Salário","Salário","Outras Receitas"),"")</f>
        <v>Outras Receitas</v>
      </c>
      <c r="I451" t="s">
        <v>506</v>
      </c>
      <c r="J451" s="4">
        <v>783</v>
      </c>
      <c r="K451" s="4">
        <f t="shared" ref="K451:K514" si="47">IF(ROW()=2,J451,IF(F451="Receita",K450+J451,K450-J451))</f>
        <v>14374</v>
      </c>
    </row>
    <row r="452" spans="1:11" x14ac:dyDescent="0.25">
      <c r="A452" t="s">
        <v>353</v>
      </c>
      <c r="B452">
        <f t="shared" si="42"/>
        <v>2025</v>
      </c>
      <c r="C452" t="str">
        <f t="shared" si="43"/>
        <v>fev</v>
      </c>
      <c r="D452" t="str">
        <f t="shared" si="44"/>
        <v>Fevereiro</v>
      </c>
      <c r="E452">
        <f t="shared" si="45"/>
        <v>22</v>
      </c>
      <c r="F452" t="s">
        <v>489</v>
      </c>
      <c r="G452" t="s">
        <v>492</v>
      </c>
      <c r="H452" t="str">
        <f t="shared" si="46"/>
        <v/>
      </c>
      <c r="I452" t="s">
        <v>508</v>
      </c>
      <c r="J452" s="4">
        <v>293</v>
      </c>
      <c r="K452" s="4">
        <f t="shared" si="47"/>
        <v>14081</v>
      </c>
    </row>
    <row r="453" spans="1:11" x14ac:dyDescent="0.25">
      <c r="A453" t="s">
        <v>353</v>
      </c>
      <c r="B453">
        <f t="shared" si="42"/>
        <v>2025</v>
      </c>
      <c r="C453" t="str">
        <f t="shared" si="43"/>
        <v>fev</v>
      </c>
      <c r="D453" t="str">
        <f t="shared" si="44"/>
        <v>Fevereiro</v>
      </c>
      <c r="E453">
        <f t="shared" si="45"/>
        <v>22</v>
      </c>
      <c r="F453" t="s">
        <v>489</v>
      </c>
      <c r="G453" t="s">
        <v>497</v>
      </c>
      <c r="H453" t="str">
        <f t="shared" si="46"/>
        <v/>
      </c>
      <c r="I453" t="s">
        <v>520</v>
      </c>
      <c r="J453" s="4">
        <v>714</v>
      </c>
      <c r="K453" s="4">
        <f t="shared" si="47"/>
        <v>13367</v>
      </c>
    </row>
    <row r="454" spans="1:11" x14ac:dyDescent="0.25">
      <c r="A454" t="s">
        <v>354</v>
      </c>
      <c r="B454">
        <f t="shared" si="42"/>
        <v>2025</v>
      </c>
      <c r="C454" t="str">
        <f t="shared" si="43"/>
        <v>fev</v>
      </c>
      <c r="D454" t="str">
        <f t="shared" si="44"/>
        <v>Fevereiro</v>
      </c>
      <c r="E454">
        <f t="shared" si="45"/>
        <v>23</v>
      </c>
      <c r="F454" t="s">
        <v>489</v>
      </c>
      <c r="G454" t="s">
        <v>498</v>
      </c>
      <c r="H454" t="str">
        <f t="shared" si="46"/>
        <v/>
      </c>
      <c r="I454" t="s">
        <v>512</v>
      </c>
      <c r="J454" s="4">
        <v>274</v>
      </c>
      <c r="K454" s="4">
        <f t="shared" si="47"/>
        <v>13093</v>
      </c>
    </row>
    <row r="455" spans="1:11" x14ac:dyDescent="0.25">
      <c r="A455" t="s">
        <v>355</v>
      </c>
      <c r="B455">
        <f t="shared" si="42"/>
        <v>2025</v>
      </c>
      <c r="C455" t="str">
        <f t="shared" si="43"/>
        <v>fev</v>
      </c>
      <c r="D455" t="str">
        <f t="shared" si="44"/>
        <v>Fevereiro</v>
      </c>
      <c r="E455">
        <f t="shared" si="45"/>
        <v>24</v>
      </c>
      <c r="F455" t="s">
        <v>488</v>
      </c>
      <c r="G455" t="s">
        <v>495</v>
      </c>
      <c r="H455" t="str">
        <f t="shared" si="46"/>
        <v>Outras Receitas</v>
      </c>
      <c r="I455" t="s">
        <v>507</v>
      </c>
      <c r="J455" s="4">
        <v>439</v>
      </c>
      <c r="K455" s="4">
        <f t="shared" si="47"/>
        <v>13532</v>
      </c>
    </row>
    <row r="456" spans="1:11" x14ac:dyDescent="0.25">
      <c r="A456" t="s">
        <v>356</v>
      </c>
      <c r="B456">
        <f t="shared" si="42"/>
        <v>2025</v>
      </c>
      <c r="C456" t="str">
        <f t="shared" si="43"/>
        <v>fev</v>
      </c>
      <c r="D456" t="str">
        <f t="shared" si="44"/>
        <v>Fevereiro</v>
      </c>
      <c r="E456">
        <f t="shared" si="45"/>
        <v>28</v>
      </c>
      <c r="F456" t="s">
        <v>489</v>
      </c>
      <c r="G456" t="s">
        <v>498</v>
      </c>
      <c r="H456" t="str">
        <f t="shared" si="46"/>
        <v/>
      </c>
      <c r="I456" t="s">
        <v>513</v>
      </c>
      <c r="J456" s="4">
        <v>1075</v>
      </c>
      <c r="K456" s="4">
        <f t="shared" si="47"/>
        <v>12457</v>
      </c>
    </row>
    <row r="457" spans="1:11" x14ac:dyDescent="0.25">
      <c r="A457" t="s">
        <v>357</v>
      </c>
      <c r="B457">
        <f t="shared" si="42"/>
        <v>2025</v>
      </c>
      <c r="C457" t="str">
        <f t="shared" si="43"/>
        <v>mar</v>
      </c>
      <c r="D457" t="str">
        <f t="shared" si="44"/>
        <v>Março</v>
      </c>
      <c r="E457">
        <f t="shared" si="45"/>
        <v>1</v>
      </c>
      <c r="F457" t="s">
        <v>488</v>
      </c>
      <c r="G457" t="s">
        <v>490</v>
      </c>
      <c r="H457" t="str">
        <f t="shared" si="46"/>
        <v>Salário</v>
      </c>
      <c r="I457" t="s">
        <v>500</v>
      </c>
      <c r="J457" s="4">
        <v>6715</v>
      </c>
      <c r="K457" s="4">
        <f t="shared" si="47"/>
        <v>19172</v>
      </c>
    </row>
    <row r="458" spans="1:11" x14ac:dyDescent="0.25">
      <c r="A458" t="s">
        <v>358</v>
      </c>
      <c r="B458">
        <f t="shared" si="42"/>
        <v>2025</v>
      </c>
      <c r="C458" t="str">
        <f t="shared" si="43"/>
        <v>mar</v>
      </c>
      <c r="D458" t="str">
        <f t="shared" si="44"/>
        <v>Março</v>
      </c>
      <c r="E458">
        <f t="shared" si="45"/>
        <v>2</v>
      </c>
      <c r="F458" t="s">
        <v>488</v>
      </c>
      <c r="G458" t="s">
        <v>491</v>
      </c>
      <c r="H458" t="str">
        <f t="shared" si="46"/>
        <v>Outras Receitas</v>
      </c>
      <c r="I458" t="s">
        <v>501</v>
      </c>
      <c r="J458" s="4">
        <v>1333</v>
      </c>
      <c r="K458" s="4">
        <f t="shared" si="47"/>
        <v>20505</v>
      </c>
    </row>
    <row r="459" spans="1:11" x14ac:dyDescent="0.25">
      <c r="A459" t="s">
        <v>359</v>
      </c>
      <c r="B459">
        <f t="shared" si="42"/>
        <v>2025</v>
      </c>
      <c r="C459" t="str">
        <f t="shared" si="43"/>
        <v>mar</v>
      </c>
      <c r="D459" t="str">
        <f t="shared" si="44"/>
        <v>Março</v>
      </c>
      <c r="E459">
        <f t="shared" si="45"/>
        <v>3</v>
      </c>
      <c r="F459" t="s">
        <v>489</v>
      </c>
      <c r="G459" t="s">
        <v>497</v>
      </c>
      <c r="H459" t="str">
        <f t="shared" si="46"/>
        <v/>
      </c>
      <c r="I459" t="s">
        <v>520</v>
      </c>
      <c r="J459" s="4">
        <v>732</v>
      </c>
      <c r="K459" s="4">
        <f t="shared" si="47"/>
        <v>19773</v>
      </c>
    </row>
    <row r="460" spans="1:11" x14ac:dyDescent="0.25">
      <c r="A460" t="s">
        <v>360</v>
      </c>
      <c r="B460">
        <f t="shared" si="42"/>
        <v>2025</v>
      </c>
      <c r="C460" t="str">
        <f t="shared" si="43"/>
        <v>mar</v>
      </c>
      <c r="D460" t="str">
        <f t="shared" si="44"/>
        <v>Março</v>
      </c>
      <c r="E460">
        <f t="shared" si="45"/>
        <v>4</v>
      </c>
      <c r="F460" t="s">
        <v>489</v>
      </c>
      <c r="G460" t="s">
        <v>496</v>
      </c>
      <c r="H460" t="str">
        <f t="shared" si="46"/>
        <v/>
      </c>
      <c r="I460" t="s">
        <v>530</v>
      </c>
      <c r="J460" s="4">
        <v>363</v>
      </c>
      <c r="K460" s="4">
        <f t="shared" si="47"/>
        <v>19410</v>
      </c>
    </row>
    <row r="461" spans="1:11" x14ac:dyDescent="0.25">
      <c r="A461" t="s">
        <v>361</v>
      </c>
      <c r="B461">
        <f t="shared" si="42"/>
        <v>2025</v>
      </c>
      <c r="C461" t="str">
        <f t="shared" si="43"/>
        <v>mar</v>
      </c>
      <c r="D461" t="str">
        <f t="shared" si="44"/>
        <v>Março</v>
      </c>
      <c r="E461">
        <f t="shared" si="45"/>
        <v>5</v>
      </c>
      <c r="F461" t="s">
        <v>489</v>
      </c>
      <c r="G461" t="s">
        <v>498</v>
      </c>
      <c r="H461" t="str">
        <f t="shared" si="46"/>
        <v/>
      </c>
      <c r="I461" t="s">
        <v>513</v>
      </c>
      <c r="J461" s="4">
        <v>1074</v>
      </c>
      <c r="K461" s="4">
        <f t="shared" si="47"/>
        <v>18336</v>
      </c>
    </row>
    <row r="462" spans="1:11" x14ac:dyDescent="0.25">
      <c r="A462" t="s">
        <v>361</v>
      </c>
      <c r="B462">
        <f t="shared" si="42"/>
        <v>2025</v>
      </c>
      <c r="C462" t="str">
        <f t="shared" si="43"/>
        <v>mar</v>
      </c>
      <c r="D462" t="str">
        <f t="shared" si="44"/>
        <v>Março</v>
      </c>
      <c r="E462">
        <f t="shared" si="45"/>
        <v>5</v>
      </c>
      <c r="F462" t="s">
        <v>489</v>
      </c>
      <c r="G462" t="s">
        <v>492</v>
      </c>
      <c r="H462" t="str">
        <f t="shared" si="46"/>
        <v/>
      </c>
      <c r="I462" t="s">
        <v>508</v>
      </c>
      <c r="J462" s="4">
        <v>367</v>
      </c>
      <c r="K462" s="4">
        <f t="shared" si="47"/>
        <v>17969</v>
      </c>
    </row>
    <row r="463" spans="1:11" x14ac:dyDescent="0.25">
      <c r="A463" t="s">
        <v>362</v>
      </c>
      <c r="B463">
        <f t="shared" si="42"/>
        <v>2025</v>
      </c>
      <c r="C463" t="str">
        <f t="shared" si="43"/>
        <v>mar</v>
      </c>
      <c r="D463" t="str">
        <f t="shared" si="44"/>
        <v>Março</v>
      </c>
      <c r="E463">
        <f t="shared" si="45"/>
        <v>7</v>
      </c>
      <c r="F463" t="s">
        <v>489</v>
      </c>
      <c r="G463" t="s">
        <v>492</v>
      </c>
      <c r="H463" t="str">
        <f t="shared" si="46"/>
        <v/>
      </c>
      <c r="I463" t="s">
        <v>504</v>
      </c>
      <c r="J463" s="4">
        <v>2000</v>
      </c>
      <c r="K463" s="4">
        <f t="shared" si="47"/>
        <v>15969</v>
      </c>
    </row>
    <row r="464" spans="1:11" x14ac:dyDescent="0.25">
      <c r="A464" t="s">
        <v>363</v>
      </c>
      <c r="B464">
        <f t="shared" si="42"/>
        <v>2025</v>
      </c>
      <c r="C464" t="str">
        <f t="shared" si="43"/>
        <v>mar</v>
      </c>
      <c r="D464" t="str">
        <f t="shared" si="44"/>
        <v>Março</v>
      </c>
      <c r="E464">
        <f t="shared" si="45"/>
        <v>9</v>
      </c>
      <c r="F464" t="s">
        <v>489</v>
      </c>
      <c r="G464" t="s">
        <v>498</v>
      </c>
      <c r="H464" t="str">
        <f t="shared" si="46"/>
        <v/>
      </c>
      <c r="I464" t="s">
        <v>512</v>
      </c>
      <c r="J464" s="4">
        <v>391</v>
      </c>
      <c r="K464" s="4">
        <f t="shared" si="47"/>
        <v>15578</v>
      </c>
    </row>
    <row r="465" spans="1:11" x14ac:dyDescent="0.25">
      <c r="A465" t="s">
        <v>363</v>
      </c>
      <c r="B465">
        <f t="shared" si="42"/>
        <v>2025</v>
      </c>
      <c r="C465" t="str">
        <f t="shared" si="43"/>
        <v>mar</v>
      </c>
      <c r="D465" t="str">
        <f t="shared" si="44"/>
        <v>Março</v>
      </c>
      <c r="E465">
        <f t="shared" si="45"/>
        <v>9</v>
      </c>
      <c r="F465" t="s">
        <v>489</v>
      </c>
      <c r="G465" t="s">
        <v>498</v>
      </c>
      <c r="H465" t="str">
        <f t="shared" si="46"/>
        <v/>
      </c>
      <c r="I465" t="s">
        <v>527</v>
      </c>
      <c r="J465" s="4">
        <v>984</v>
      </c>
      <c r="K465" s="4">
        <f t="shared" si="47"/>
        <v>14594</v>
      </c>
    </row>
    <row r="466" spans="1:11" x14ac:dyDescent="0.25">
      <c r="A466" t="s">
        <v>364</v>
      </c>
      <c r="B466">
        <f t="shared" si="42"/>
        <v>2025</v>
      </c>
      <c r="C466" t="str">
        <f t="shared" si="43"/>
        <v>mar</v>
      </c>
      <c r="D466" t="str">
        <f t="shared" si="44"/>
        <v>Março</v>
      </c>
      <c r="E466">
        <f t="shared" si="45"/>
        <v>10</v>
      </c>
      <c r="F466" t="s">
        <v>489</v>
      </c>
      <c r="G466" t="s">
        <v>492</v>
      </c>
      <c r="H466" t="str">
        <f t="shared" si="46"/>
        <v/>
      </c>
      <c r="I466" t="s">
        <v>514</v>
      </c>
      <c r="J466" s="4">
        <v>779</v>
      </c>
      <c r="K466" s="4">
        <f t="shared" si="47"/>
        <v>13815</v>
      </c>
    </row>
    <row r="467" spans="1:11" x14ac:dyDescent="0.25">
      <c r="A467" t="s">
        <v>365</v>
      </c>
      <c r="B467">
        <f t="shared" si="42"/>
        <v>2025</v>
      </c>
      <c r="C467" t="str">
        <f t="shared" si="43"/>
        <v>mar</v>
      </c>
      <c r="D467" t="str">
        <f t="shared" si="44"/>
        <v>Março</v>
      </c>
      <c r="E467">
        <f t="shared" si="45"/>
        <v>11</v>
      </c>
      <c r="F467" t="s">
        <v>489</v>
      </c>
      <c r="G467" t="s">
        <v>499</v>
      </c>
      <c r="H467" t="str">
        <f t="shared" si="46"/>
        <v/>
      </c>
      <c r="I467" t="s">
        <v>526</v>
      </c>
      <c r="J467" s="4">
        <v>1146</v>
      </c>
      <c r="K467" s="4">
        <f t="shared" si="47"/>
        <v>12669</v>
      </c>
    </row>
    <row r="468" spans="1:11" x14ac:dyDescent="0.25">
      <c r="A468" t="s">
        <v>366</v>
      </c>
      <c r="B468">
        <f t="shared" si="42"/>
        <v>2025</v>
      </c>
      <c r="C468" t="str">
        <f t="shared" si="43"/>
        <v>mar</v>
      </c>
      <c r="D468" t="str">
        <f t="shared" si="44"/>
        <v>Março</v>
      </c>
      <c r="E468">
        <f t="shared" si="45"/>
        <v>12</v>
      </c>
      <c r="F468" t="s">
        <v>488</v>
      </c>
      <c r="G468" t="s">
        <v>494</v>
      </c>
      <c r="H468" t="str">
        <f t="shared" si="46"/>
        <v>Outras Receitas</v>
      </c>
      <c r="I468" t="s">
        <v>506</v>
      </c>
      <c r="J468" s="4">
        <v>332</v>
      </c>
      <c r="K468" s="4">
        <f t="shared" si="47"/>
        <v>13001</v>
      </c>
    </row>
    <row r="469" spans="1:11" x14ac:dyDescent="0.25">
      <c r="A469" t="s">
        <v>367</v>
      </c>
      <c r="B469">
        <f t="shared" si="42"/>
        <v>2025</v>
      </c>
      <c r="C469" t="str">
        <f t="shared" si="43"/>
        <v>mar</v>
      </c>
      <c r="D469" t="str">
        <f t="shared" si="44"/>
        <v>Março</v>
      </c>
      <c r="E469">
        <f t="shared" si="45"/>
        <v>13</v>
      </c>
      <c r="F469" t="s">
        <v>489</v>
      </c>
      <c r="G469" t="s">
        <v>492</v>
      </c>
      <c r="H469" t="str">
        <f t="shared" si="46"/>
        <v/>
      </c>
      <c r="I469" t="s">
        <v>517</v>
      </c>
      <c r="J469" s="4">
        <v>250</v>
      </c>
      <c r="K469" s="4">
        <f t="shared" si="47"/>
        <v>12751</v>
      </c>
    </row>
    <row r="470" spans="1:11" x14ac:dyDescent="0.25">
      <c r="A470" t="s">
        <v>368</v>
      </c>
      <c r="B470">
        <f t="shared" si="42"/>
        <v>2025</v>
      </c>
      <c r="C470" t="str">
        <f t="shared" si="43"/>
        <v>mar</v>
      </c>
      <c r="D470" t="str">
        <f t="shared" si="44"/>
        <v>Março</v>
      </c>
      <c r="E470">
        <f t="shared" si="45"/>
        <v>16</v>
      </c>
      <c r="F470" t="s">
        <v>489</v>
      </c>
      <c r="G470" t="s">
        <v>493</v>
      </c>
      <c r="H470" t="str">
        <f t="shared" si="46"/>
        <v/>
      </c>
      <c r="I470" t="s">
        <v>516</v>
      </c>
      <c r="J470" s="4">
        <v>226</v>
      </c>
      <c r="K470" s="4">
        <f t="shared" si="47"/>
        <v>12525</v>
      </c>
    </row>
    <row r="471" spans="1:11" x14ac:dyDescent="0.25">
      <c r="A471" t="s">
        <v>369</v>
      </c>
      <c r="B471">
        <f t="shared" si="42"/>
        <v>2025</v>
      </c>
      <c r="C471" t="str">
        <f t="shared" si="43"/>
        <v>mar</v>
      </c>
      <c r="D471" t="str">
        <f t="shared" si="44"/>
        <v>Março</v>
      </c>
      <c r="E471">
        <f t="shared" si="45"/>
        <v>17</v>
      </c>
      <c r="F471" t="s">
        <v>489</v>
      </c>
      <c r="G471" t="s">
        <v>492</v>
      </c>
      <c r="H471" t="str">
        <f t="shared" si="46"/>
        <v/>
      </c>
      <c r="I471" t="s">
        <v>503</v>
      </c>
      <c r="J471" s="4">
        <v>137</v>
      </c>
      <c r="K471" s="4">
        <f t="shared" si="47"/>
        <v>12388</v>
      </c>
    </row>
    <row r="472" spans="1:11" x14ac:dyDescent="0.25">
      <c r="A472" t="s">
        <v>370</v>
      </c>
      <c r="B472">
        <f t="shared" si="42"/>
        <v>2025</v>
      </c>
      <c r="C472" t="str">
        <f t="shared" si="43"/>
        <v>mar</v>
      </c>
      <c r="D472" t="str">
        <f t="shared" si="44"/>
        <v>Março</v>
      </c>
      <c r="E472">
        <f t="shared" si="45"/>
        <v>21</v>
      </c>
      <c r="F472" t="s">
        <v>489</v>
      </c>
      <c r="G472" t="s">
        <v>499</v>
      </c>
      <c r="H472" t="str">
        <f t="shared" si="46"/>
        <v/>
      </c>
      <c r="I472" t="s">
        <v>526</v>
      </c>
      <c r="J472" s="4">
        <v>1095</v>
      </c>
      <c r="K472" s="4">
        <f t="shared" si="47"/>
        <v>11293</v>
      </c>
    </row>
    <row r="473" spans="1:11" x14ac:dyDescent="0.25">
      <c r="A473" t="s">
        <v>371</v>
      </c>
      <c r="B473">
        <f t="shared" si="42"/>
        <v>2025</v>
      </c>
      <c r="C473" t="str">
        <f t="shared" si="43"/>
        <v>mar</v>
      </c>
      <c r="D473" t="str">
        <f t="shared" si="44"/>
        <v>Março</v>
      </c>
      <c r="E473">
        <f t="shared" si="45"/>
        <v>23</v>
      </c>
      <c r="F473" t="s">
        <v>489</v>
      </c>
      <c r="G473" t="s">
        <v>493</v>
      </c>
      <c r="H473" t="str">
        <f t="shared" si="46"/>
        <v/>
      </c>
      <c r="I473" t="s">
        <v>518</v>
      </c>
      <c r="J473" s="4">
        <v>457</v>
      </c>
      <c r="K473" s="4">
        <f t="shared" si="47"/>
        <v>10836</v>
      </c>
    </row>
    <row r="474" spans="1:11" x14ac:dyDescent="0.25">
      <c r="A474" t="s">
        <v>371</v>
      </c>
      <c r="B474">
        <f t="shared" si="42"/>
        <v>2025</v>
      </c>
      <c r="C474" t="str">
        <f t="shared" si="43"/>
        <v>mar</v>
      </c>
      <c r="D474" t="str">
        <f t="shared" si="44"/>
        <v>Março</v>
      </c>
      <c r="E474">
        <f t="shared" si="45"/>
        <v>23</v>
      </c>
      <c r="F474" t="s">
        <v>489</v>
      </c>
      <c r="G474" t="s">
        <v>493</v>
      </c>
      <c r="H474" t="str">
        <f t="shared" si="46"/>
        <v/>
      </c>
      <c r="I474" t="s">
        <v>528</v>
      </c>
      <c r="J474" s="4">
        <v>933</v>
      </c>
      <c r="K474" s="4">
        <f t="shared" si="47"/>
        <v>9903</v>
      </c>
    </row>
    <row r="475" spans="1:11" x14ac:dyDescent="0.25">
      <c r="A475" t="s">
        <v>372</v>
      </c>
      <c r="B475">
        <f t="shared" si="42"/>
        <v>2025</v>
      </c>
      <c r="C475" t="str">
        <f t="shared" si="43"/>
        <v>mar</v>
      </c>
      <c r="D475" t="str">
        <f t="shared" si="44"/>
        <v>Março</v>
      </c>
      <c r="E475">
        <f t="shared" si="45"/>
        <v>24</v>
      </c>
      <c r="F475" t="s">
        <v>489</v>
      </c>
      <c r="G475" t="s">
        <v>493</v>
      </c>
      <c r="H475" t="str">
        <f t="shared" si="46"/>
        <v/>
      </c>
      <c r="I475" t="s">
        <v>525</v>
      </c>
      <c r="J475" s="4">
        <v>1064</v>
      </c>
      <c r="K475" s="4">
        <f t="shared" si="47"/>
        <v>8839</v>
      </c>
    </row>
    <row r="476" spans="1:11" x14ac:dyDescent="0.25">
      <c r="A476" t="s">
        <v>373</v>
      </c>
      <c r="B476">
        <f t="shared" si="42"/>
        <v>2025</v>
      </c>
      <c r="C476" t="str">
        <f t="shared" si="43"/>
        <v>mar</v>
      </c>
      <c r="D476" t="str">
        <f t="shared" si="44"/>
        <v>Março</v>
      </c>
      <c r="E476">
        <f t="shared" si="45"/>
        <v>25</v>
      </c>
      <c r="F476" t="s">
        <v>489</v>
      </c>
      <c r="G476" t="s">
        <v>492</v>
      </c>
      <c r="H476" t="str">
        <f t="shared" si="46"/>
        <v/>
      </c>
      <c r="I476" t="s">
        <v>502</v>
      </c>
      <c r="J476" s="4">
        <v>173</v>
      </c>
      <c r="K476" s="4">
        <f t="shared" si="47"/>
        <v>8666</v>
      </c>
    </row>
    <row r="477" spans="1:11" x14ac:dyDescent="0.25">
      <c r="A477" t="s">
        <v>374</v>
      </c>
      <c r="B477">
        <f t="shared" si="42"/>
        <v>2025</v>
      </c>
      <c r="C477" t="str">
        <f t="shared" si="43"/>
        <v>mar</v>
      </c>
      <c r="D477" t="str">
        <f t="shared" si="44"/>
        <v>Março</v>
      </c>
      <c r="E477">
        <f t="shared" si="45"/>
        <v>27</v>
      </c>
      <c r="F477" t="s">
        <v>488</v>
      </c>
      <c r="G477" t="s">
        <v>495</v>
      </c>
      <c r="H477" t="str">
        <f t="shared" si="46"/>
        <v>Outras Receitas</v>
      </c>
      <c r="I477" t="s">
        <v>507</v>
      </c>
      <c r="J477" s="4">
        <v>653</v>
      </c>
      <c r="K477" s="4">
        <f t="shared" si="47"/>
        <v>9319</v>
      </c>
    </row>
    <row r="478" spans="1:11" x14ac:dyDescent="0.25">
      <c r="A478" t="s">
        <v>375</v>
      </c>
      <c r="B478">
        <f t="shared" si="42"/>
        <v>2025</v>
      </c>
      <c r="C478" t="str">
        <f t="shared" si="43"/>
        <v>abr</v>
      </c>
      <c r="D478" t="str">
        <f t="shared" si="44"/>
        <v>Abril</v>
      </c>
      <c r="E478">
        <f t="shared" si="45"/>
        <v>1</v>
      </c>
      <c r="F478" t="s">
        <v>488</v>
      </c>
      <c r="G478" t="s">
        <v>490</v>
      </c>
      <c r="H478" t="str">
        <f t="shared" si="46"/>
        <v>Salário</v>
      </c>
      <c r="I478" t="s">
        <v>500</v>
      </c>
      <c r="J478" s="4">
        <v>6948</v>
      </c>
      <c r="K478" s="4">
        <f t="shared" si="47"/>
        <v>16267</v>
      </c>
    </row>
    <row r="479" spans="1:11" x14ac:dyDescent="0.25">
      <c r="A479" t="s">
        <v>376</v>
      </c>
      <c r="B479">
        <f t="shared" si="42"/>
        <v>2025</v>
      </c>
      <c r="C479" t="str">
        <f t="shared" si="43"/>
        <v>abr</v>
      </c>
      <c r="D479" t="str">
        <f t="shared" si="44"/>
        <v>Abril</v>
      </c>
      <c r="E479">
        <f t="shared" si="45"/>
        <v>6</v>
      </c>
      <c r="F479" t="s">
        <v>489</v>
      </c>
      <c r="G479" t="s">
        <v>492</v>
      </c>
      <c r="H479" t="str">
        <f t="shared" si="46"/>
        <v/>
      </c>
      <c r="I479" t="s">
        <v>508</v>
      </c>
      <c r="J479" s="4">
        <v>356</v>
      </c>
      <c r="K479" s="4">
        <f t="shared" si="47"/>
        <v>15911</v>
      </c>
    </row>
    <row r="480" spans="1:11" x14ac:dyDescent="0.25">
      <c r="A480" t="s">
        <v>376</v>
      </c>
      <c r="B480">
        <f t="shared" si="42"/>
        <v>2025</v>
      </c>
      <c r="C480" t="str">
        <f t="shared" si="43"/>
        <v>abr</v>
      </c>
      <c r="D480" t="str">
        <f t="shared" si="44"/>
        <v>Abril</v>
      </c>
      <c r="E480">
        <f t="shared" si="45"/>
        <v>6</v>
      </c>
      <c r="F480" t="s">
        <v>489</v>
      </c>
      <c r="G480" t="s">
        <v>497</v>
      </c>
      <c r="H480" t="str">
        <f t="shared" si="46"/>
        <v/>
      </c>
      <c r="I480" t="s">
        <v>520</v>
      </c>
      <c r="J480" s="4">
        <v>708</v>
      </c>
      <c r="K480" s="4">
        <f t="shared" si="47"/>
        <v>15203</v>
      </c>
    </row>
    <row r="481" spans="1:11" x14ac:dyDescent="0.25">
      <c r="A481" t="s">
        <v>377</v>
      </c>
      <c r="B481">
        <f t="shared" si="42"/>
        <v>2025</v>
      </c>
      <c r="C481" t="str">
        <f t="shared" si="43"/>
        <v>abr</v>
      </c>
      <c r="D481" t="str">
        <f t="shared" si="44"/>
        <v>Abril</v>
      </c>
      <c r="E481">
        <f t="shared" si="45"/>
        <v>10</v>
      </c>
      <c r="F481" t="s">
        <v>489</v>
      </c>
      <c r="G481" t="s">
        <v>492</v>
      </c>
      <c r="H481" t="str">
        <f t="shared" si="46"/>
        <v/>
      </c>
      <c r="I481" t="s">
        <v>502</v>
      </c>
      <c r="J481" s="4">
        <v>169</v>
      </c>
      <c r="K481" s="4">
        <f t="shared" si="47"/>
        <v>15034</v>
      </c>
    </row>
    <row r="482" spans="1:11" x14ac:dyDescent="0.25">
      <c r="A482" t="s">
        <v>378</v>
      </c>
      <c r="B482">
        <f t="shared" si="42"/>
        <v>2025</v>
      </c>
      <c r="C482" t="str">
        <f t="shared" si="43"/>
        <v>abr</v>
      </c>
      <c r="D482" t="str">
        <f t="shared" si="44"/>
        <v>Abril</v>
      </c>
      <c r="E482">
        <f t="shared" si="45"/>
        <v>11</v>
      </c>
      <c r="F482" t="s">
        <v>489</v>
      </c>
      <c r="G482" t="s">
        <v>493</v>
      </c>
      <c r="H482" t="str">
        <f t="shared" si="46"/>
        <v/>
      </c>
      <c r="I482" t="s">
        <v>528</v>
      </c>
      <c r="J482" s="4">
        <v>165</v>
      </c>
      <c r="K482" s="4">
        <f t="shared" si="47"/>
        <v>14869</v>
      </c>
    </row>
    <row r="483" spans="1:11" x14ac:dyDescent="0.25">
      <c r="A483" t="s">
        <v>379</v>
      </c>
      <c r="B483">
        <f t="shared" si="42"/>
        <v>2025</v>
      </c>
      <c r="C483" t="str">
        <f t="shared" si="43"/>
        <v>abr</v>
      </c>
      <c r="D483" t="str">
        <f t="shared" si="44"/>
        <v>Abril</v>
      </c>
      <c r="E483">
        <f t="shared" si="45"/>
        <v>12</v>
      </c>
      <c r="F483" t="s">
        <v>489</v>
      </c>
      <c r="G483" t="s">
        <v>492</v>
      </c>
      <c r="H483" t="str">
        <f t="shared" si="46"/>
        <v/>
      </c>
      <c r="I483" t="s">
        <v>504</v>
      </c>
      <c r="J483" s="4">
        <v>2000</v>
      </c>
      <c r="K483" s="4">
        <f t="shared" si="47"/>
        <v>12869</v>
      </c>
    </row>
    <row r="484" spans="1:11" x14ac:dyDescent="0.25">
      <c r="A484" t="s">
        <v>380</v>
      </c>
      <c r="B484">
        <f t="shared" si="42"/>
        <v>2025</v>
      </c>
      <c r="C484" t="str">
        <f t="shared" si="43"/>
        <v>abr</v>
      </c>
      <c r="D484" t="str">
        <f t="shared" si="44"/>
        <v>Abril</v>
      </c>
      <c r="E484">
        <f t="shared" si="45"/>
        <v>13</v>
      </c>
      <c r="F484" t="s">
        <v>489</v>
      </c>
      <c r="G484" t="s">
        <v>493</v>
      </c>
      <c r="H484" t="str">
        <f t="shared" si="46"/>
        <v/>
      </c>
      <c r="I484" t="s">
        <v>533</v>
      </c>
      <c r="J484" s="4">
        <v>699</v>
      </c>
      <c r="K484" s="4">
        <f t="shared" si="47"/>
        <v>12170</v>
      </c>
    </row>
    <row r="485" spans="1:11" x14ac:dyDescent="0.25">
      <c r="A485" t="s">
        <v>381</v>
      </c>
      <c r="B485">
        <f t="shared" si="42"/>
        <v>2025</v>
      </c>
      <c r="C485" t="str">
        <f t="shared" si="43"/>
        <v>abr</v>
      </c>
      <c r="D485" t="str">
        <f t="shared" si="44"/>
        <v>Abril</v>
      </c>
      <c r="E485">
        <f t="shared" si="45"/>
        <v>14</v>
      </c>
      <c r="F485" t="s">
        <v>488</v>
      </c>
      <c r="G485" t="s">
        <v>495</v>
      </c>
      <c r="H485" t="str">
        <f t="shared" si="46"/>
        <v>Outras Receitas</v>
      </c>
      <c r="I485" t="s">
        <v>507</v>
      </c>
      <c r="J485" s="4">
        <v>462</v>
      </c>
      <c r="K485" s="4">
        <f t="shared" si="47"/>
        <v>12632</v>
      </c>
    </row>
    <row r="486" spans="1:11" x14ac:dyDescent="0.25">
      <c r="A486" t="s">
        <v>382</v>
      </c>
      <c r="B486">
        <f t="shared" si="42"/>
        <v>2025</v>
      </c>
      <c r="C486" t="str">
        <f t="shared" si="43"/>
        <v>abr</v>
      </c>
      <c r="D486" t="str">
        <f t="shared" si="44"/>
        <v>Abril</v>
      </c>
      <c r="E486">
        <f t="shared" si="45"/>
        <v>15</v>
      </c>
      <c r="F486" t="s">
        <v>489</v>
      </c>
      <c r="G486" t="s">
        <v>492</v>
      </c>
      <c r="H486" t="str">
        <f t="shared" si="46"/>
        <v/>
      </c>
      <c r="I486" t="s">
        <v>514</v>
      </c>
      <c r="J486" s="4">
        <v>849</v>
      </c>
      <c r="K486" s="4">
        <f t="shared" si="47"/>
        <v>11783</v>
      </c>
    </row>
    <row r="487" spans="1:11" x14ac:dyDescent="0.25">
      <c r="A487" t="s">
        <v>382</v>
      </c>
      <c r="B487">
        <f t="shared" si="42"/>
        <v>2025</v>
      </c>
      <c r="C487" t="str">
        <f t="shared" si="43"/>
        <v>abr</v>
      </c>
      <c r="D487" t="str">
        <f t="shared" si="44"/>
        <v>Abril</v>
      </c>
      <c r="E487">
        <f t="shared" si="45"/>
        <v>15</v>
      </c>
      <c r="F487" t="s">
        <v>489</v>
      </c>
      <c r="G487" t="s">
        <v>498</v>
      </c>
      <c r="H487" t="str">
        <f t="shared" si="46"/>
        <v/>
      </c>
      <c r="I487" t="s">
        <v>513</v>
      </c>
      <c r="J487" s="4">
        <v>878</v>
      </c>
      <c r="K487" s="4">
        <f t="shared" si="47"/>
        <v>10905</v>
      </c>
    </row>
    <row r="488" spans="1:11" x14ac:dyDescent="0.25">
      <c r="A488" t="s">
        <v>383</v>
      </c>
      <c r="B488">
        <f t="shared" si="42"/>
        <v>2025</v>
      </c>
      <c r="C488" t="str">
        <f t="shared" si="43"/>
        <v>abr</v>
      </c>
      <c r="D488" t="str">
        <f t="shared" si="44"/>
        <v>Abril</v>
      </c>
      <c r="E488">
        <f t="shared" si="45"/>
        <v>17</v>
      </c>
      <c r="F488" t="s">
        <v>489</v>
      </c>
      <c r="G488" t="s">
        <v>492</v>
      </c>
      <c r="H488" t="str">
        <f t="shared" si="46"/>
        <v/>
      </c>
      <c r="I488" t="s">
        <v>503</v>
      </c>
      <c r="J488" s="4">
        <v>116</v>
      </c>
      <c r="K488" s="4">
        <f t="shared" si="47"/>
        <v>10789</v>
      </c>
    </row>
    <row r="489" spans="1:11" x14ac:dyDescent="0.25">
      <c r="A489" t="s">
        <v>384</v>
      </c>
      <c r="B489">
        <f t="shared" si="42"/>
        <v>2025</v>
      </c>
      <c r="C489" t="str">
        <f t="shared" si="43"/>
        <v>abr</v>
      </c>
      <c r="D489" t="str">
        <f t="shared" si="44"/>
        <v>Abril</v>
      </c>
      <c r="E489">
        <f t="shared" si="45"/>
        <v>19</v>
      </c>
      <c r="F489" t="s">
        <v>489</v>
      </c>
      <c r="G489" t="s">
        <v>493</v>
      </c>
      <c r="H489" t="str">
        <f t="shared" si="46"/>
        <v/>
      </c>
      <c r="I489" t="s">
        <v>516</v>
      </c>
      <c r="J489" s="4">
        <v>213</v>
      </c>
      <c r="K489" s="4">
        <f t="shared" si="47"/>
        <v>10576</v>
      </c>
    </row>
    <row r="490" spans="1:11" x14ac:dyDescent="0.25">
      <c r="A490" t="s">
        <v>384</v>
      </c>
      <c r="B490">
        <f t="shared" si="42"/>
        <v>2025</v>
      </c>
      <c r="C490" t="str">
        <f t="shared" si="43"/>
        <v>abr</v>
      </c>
      <c r="D490" t="str">
        <f t="shared" si="44"/>
        <v>Abril</v>
      </c>
      <c r="E490">
        <f t="shared" si="45"/>
        <v>19</v>
      </c>
      <c r="F490" t="s">
        <v>489</v>
      </c>
      <c r="G490" t="s">
        <v>499</v>
      </c>
      <c r="H490" t="str">
        <f t="shared" si="46"/>
        <v/>
      </c>
      <c r="I490" t="s">
        <v>521</v>
      </c>
      <c r="J490" s="4">
        <v>938</v>
      </c>
      <c r="K490" s="4">
        <f t="shared" si="47"/>
        <v>9638</v>
      </c>
    </row>
    <row r="491" spans="1:11" x14ac:dyDescent="0.25">
      <c r="A491" t="s">
        <v>385</v>
      </c>
      <c r="B491">
        <f t="shared" si="42"/>
        <v>2025</v>
      </c>
      <c r="C491" t="str">
        <f t="shared" si="43"/>
        <v>abr</v>
      </c>
      <c r="D491" t="str">
        <f t="shared" si="44"/>
        <v>Abril</v>
      </c>
      <c r="E491">
        <f t="shared" si="45"/>
        <v>20</v>
      </c>
      <c r="F491" t="s">
        <v>489</v>
      </c>
      <c r="G491" t="s">
        <v>493</v>
      </c>
      <c r="H491" t="str">
        <f t="shared" si="46"/>
        <v/>
      </c>
      <c r="I491" t="s">
        <v>518</v>
      </c>
      <c r="J491" s="4">
        <v>594</v>
      </c>
      <c r="K491" s="4">
        <f t="shared" si="47"/>
        <v>9044</v>
      </c>
    </row>
    <row r="492" spans="1:11" x14ac:dyDescent="0.25">
      <c r="A492" t="s">
        <v>385</v>
      </c>
      <c r="B492">
        <f t="shared" si="42"/>
        <v>2025</v>
      </c>
      <c r="C492" t="str">
        <f t="shared" si="43"/>
        <v>abr</v>
      </c>
      <c r="D492" t="str">
        <f t="shared" si="44"/>
        <v>Abril</v>
      </c>
      <c r="E492">
        <f t="shared" si="45"/>
        <v>20</v>
      </c>
      <c r="F492" t="s">
        <v>489</v>
      </c>
      <c r="G492" t="s">
        <v>499</v>
      </c>
      <c r="H492" t="str">
        <f t="shared" si="46"/>
        <v/>
      </c>
      <c r="I492" t="s">
        <v>519</v>
      </c>
      <c r="J492" s="4">
        <v>630</v>
      </c>
      <c r="K492" s="4">
        <f t="shared" si="47"/>
        <v>8414</v>
      </c>
    </row>
    <row r="493" spans="1:11" x14ac:dyDescent="0.25">
      <c r="A493" t="s">
        <v>386</v>
      </c>
      <c r="B493">
        <f t="shared" si="42"/>
        <v>2025</v>
      </c>
      <c r="C493" t="str">
        <f t="shared" si="43"/>
        <v>abr</v>
      </c>
      <c r="D493" t="str">
        <f t="shared" si="44"/>
        <v>Abril</v>
      </c>
      <c r="E493">
        <f t="shared" si="45"/>
        <v>25</v>
      </c>
      <c r="F493" t="s">
        <v>489</v>
      </c>
      <c r="G493" t="s">
        <v>498</v>
      </c>
      <c r="H493" t="str">
        <f t="shared" si="46"/>
        <v/>
      </c>
      <c r="I493" t="s">
        <v>512</v>
      </c>
      <c r="J493" s="4">
        <v>300</v>
      </c>
      <c r="K493" s="4">
        <f t="shared" si="47"/>
        <v>8114</v>
      </c>
    </row>
    <row r="494" spans="1:11" x14ac:dyDescent="0.25">
      <c r="A494" t="s">
        <v>387</v>
      </c>
      <c r="B494">
        <f t="shared" si="42"/>
        <v>2025</v>
      </c>
      <c r="C494" t="str">
        <f t="shared" si="43"/>
        <v>abr</v>
      </c>
      <c r="D494" t="str">
        <f t="shared" si="44"/>
        <v>Abril</v>
      </c>
      <c r="E494">
        <f t="shared" si="45"/>
        <v>28</v>
      </c>
      <c r="F494" t="s">
        <v>489</v>
      </c>
      <c r="G494" t="s">
        <v>492</v>
      </c>
      <c r="H494" t="str">
        <f t="shared" si="46"/>
        <v/>
      </c>
      <c r="I494" t="s">
        <v>517</v>
      </c>
      <c r="J494" s="4">
        <v>240</v>
      </c>
      <c r="K494" s="4">
        <f t="shared" si="47"/>
        <v>7874</v>
      </c>
    </row>
    <row r="495" spans="1:11" x14ac:dyDescent="0.25">
      <c r="A495" t="s">
        <v>387</v>
      </c>
      <c r="B495">
        <f t="shared" si="42"/>
        <v>2025</v>
      </c>
      <c r="C495" t="str">
        <f t="shared" si="43"/>
        <v>abr</v>
      </c>
      <c r="D495" t="str">
        <f t="shared" si="44"/>
        <v>Abril</v>
      </c>
      <c r="E495">
        <f t="shared" si="45"/>
        <v>28</v>
      </c>
      <c r="F495" t="s">
        <v>488</v>
      </c>
      <c r="G495" t="s">
        <v>491</v>
      </c>
      <c r="H495" t="str">
        <f t="shared" si="46"/>
        <v>Outras Receitas</v>
      </c>
      <c r="I495" t="s">
        <v>501</v>
      </c>
      <c r="J495" s="4">
        <v>1528</v>
      </c>
      <c r="K495" s="4">
        <f t="shared" si="47"/>
        <v>9402</v>
      </c>
    </row>
    <row r="496" spans="1:11" x14ac:dyDescent="0.25">
      <c r="A496" t="s">
        <v>388</v>
      </c>
      <c r="B496">
        <f t="shared" si="42"/>
        <v>2025</v>
      </c>
      <c r="C496" t="str">
        <f t="shared" si="43"/>
        <v>mai</v>
      </c>
      <c r="D496" t="str">
        <f t="shared" si="44"/>
        <v>Maio</v>
      </c>
      <c r="E496">
        <f t="shared" si="45"/>
        <v>1</v>
      </c>
      <c r="F496" t="s">
        <v>488</v>
      </c>
      <c r="G496" t="s">
        <v>490</v>
      </c>
      <c r="H496" t="str">
        <f t="shared" si="46"/>
        <v>Salário</v>
      </c>
      <c r="I496" t="s">
        <v>500</v>
      </c>
      <c r="J496" s="4">
        <v>7086</v>
      </c>
      <c r="K496" s="4">
        <f t="shared" si="47"/>
        <v>16488</v>
      </c>
    </row>
    <row r="497" spans="1:11" x14ac:dyDescent="0.25">
      <c r="A497" t="s">
        <v>389</v>
      </c>
      <c r="B497">
        <f t="shared" si="42"/>
        <v>2025</v>
      </c>
      <c r="C497" t="str">
        <f t="shared" si="43"/>
        <v>mai</v>
      </c>
      <c r="D497" t="str">
        <f t="shared" si="44"/>
        <v>Maio</v>
      </c>
      <c r="E497">
        <f t="shared" si="45"/>
        <v>2</v>
      </c>
      <c r="F497" t="s">
        <v>488</v>
      </c>
      <c r="G497" t="s">
        <v>491</v>
      </c>
      <c r="H497" t="str">
        <f t="shared" si="46"/>
        <v>Outras Receitas</v>
      </c>
      <c r="I497" t="s">
        <v>501</v>
      </c>
      <c r="J497" s="4">
        <v>1847</v>
      </c>
      <c r="K497" s="4">
        <f t="shared" si="47"/>
        <v>18335</v>
      </c>
    </row>
    <row r="498" spans="1:11" x14ac:dyDescent="0.25">
      <c r="A498" t="s">
        <v>389</v>
      </c>
      <c r="B498">
        <f t="shared" si="42"/>
        <v>2025</v>
      </c>
      <c r="C498" t="str">
        <f t="shared" si="43"/>
        <v>mai</v>
      </c>
      <c r="D498" t="str">
        <f t="shared" si="44"/>
        <v>Maio</v>
      </c>
      <c r="E498">
        <f t="shared" si="45"/>
        <v>2</v>
      </c>
      <c r="F498" t="s">
        <v>489</v>
      </c>
      <c r="G498" t="s">
        <v>492</v>
      </c>
      <c r="H498" t="str">
        <f t="shared" si="46"/>
        <v/>
      </c>
      <c r="I498" t="s">
        <v>504</v>
      </c>
      <c r="J498" s="4">
        <v>2000</v>
      </c>
      <c r="K498" s="4">
        <f t="shared" si="47"/>
        <v>16335</v>
      </c>
    </row>
    <row r="499" spans="1:11" x14ac:dyDescent="0.25">
      <c r="A499" t="s">
        <v>390</v>
      </c>
      <c r="B499">
        <f t="shared" si="42"/>
        <v>2025</v>
      </c>
      <c r="C499" t="str">
        <f t="shared" si="43"/>
        <v>mai</v>
      </c>
      <c r="D499" t="str">
        <f t="shared" si="44"/>
        <v>Maio</v>
      </c>
      <c r="E499">
        <f t="shared" si="45"/>
        <v>3</v>
      </c>
      <c r="F499" t="s">
        <v>489</v>
      </c>
      <c r="G499" t="s">
        <v>493</v>
      </c>
      <c r="H499" t="str">
        <f t="shared" si="46"/>
        <v/>
      </c>
      <c r="I499" t="s">
        <v>533</v>
      </c>
      <c r="J499" s="4">
        <v>233</v>
      </c>
      <c r="K499" s="4">
        <f t="shared" si="47"/>
        <v>16102</v>
      </c>
    </row>
    <row r="500" spans="1:11" x14ac:dyDescent="0.25">
      <c r="A500" t="s">
        <v>391</v>
      </c>
      <c r="B500">
        <f t="shared" si="42"/>
        <v>2025</v>
      </c>
      <c r="C500" t="str">
        <f t="shared" si="43"/>
        <v>mai</v>
      </c>
      <c r="D500" t="str">
        <f t="shared" si="44"/>
        <v>Maio</v>
      </c>
      <c r="E500">
        <f t="shared" si="45"/>
        <v>4</v>
      </c>
      <c r="F500" t="s">
        <v>489</v>
      </c>
      <c r="G500" t="s">
        <v>497</v>
      </c>
      <c r="H500" t="str">
        <f t="shared" si="46"/>
        <v/>
      </c>
      <c r="I500" t="s">
        <v>520</v>
      </c>
      <c r="J500" s="4">
        <v>734</v>
      </c>
      <c r="K500" s="4">
        <f t="shared" si="47"/>
        <v>15368</v>
      </c>
    </row>
    <row r="501" spans="1:11" x14ac:dyDescent="0.25">
      <c r="A501" t="s">
        <v>391</v>
      </c>
      <c r="B501">
        <f t="shared" si="42"/>
        <v>2025</v>
      </c>
      <c r="C501" t="str">
        <f t="shared" si="43"/>
        <v>mai</v>
      </c>
      <c r="D501" t="str">
        <f t="shared" si="44"/>
        <v>Maio</v>
      </c>
      <c r="E501">
        <f t="shared" si="45"/>
        <v>4</v>
      </c>
      <c r="F501" t="s">
        <v>489</v>
      </c>
      <c r="G501" t="s">
        <v>498</v>
      </c>
      <c r="H501" t="str">
        <f t="shared" si="46"/>
        <v/>
      </c>
      <c r="I501" t="s">
        <v>513</v>
      </c>
      <c r="J501" s="4">
        <v>903</v>
      </c>
      <c r="K501" s="4">
        <f t="shared" si="47"/>
        <v>14465</v>
      </c>
    </row>
    <row r="502" spans="1:11" x14ac:dyDescent="0.25">
      <c r="A502" t="s">
        <v>392</v>
      </c>
      <c r="B502">
        <f t="shared" si="42"/>
        <v>2025</v>
      </c>
      <c r="C502" t="str">
        <f t="shared" si="43"/>
        <v>mai</v>
      </c>
      <c r="D502" t="str">
        <f t="shared" si="44"/>
        <v>Maio</v>
      </c>
      <c r="E502">
        <f t="shared" si="45"/>
        <v>7</v>
      </c>
      <c r="F502" t="s">
        <v>489</v>
      </c>
      <c r="G502" t="s">
        <v>492</v>
      </c>
      <c r="H502" t="str">
        <f t="shared" si="46"/>
        <v/>
      </c>
      <c r="I502" t="s">
        <v>503</v>
      </c>
      <c r="J502" s="4">
        <v>161</v>
      </c>
      <c r="K502" s="4">
        <f t="shared" si="47"/>
        <v>14304</v>
      </c>
    </row>
    <row r="503" spans="1:11" x14ac:dyDescent="0.25">
      <c r="A503" t="s">
        <v>392</v>
      </c>
      <c r="B503">
        <f t="shared" ref="B503:B566" si="48">YEAR(A503)</f>
        <v>2025</v>
      </c>
      <c r="C503" t="str">
        <f t="shared" ref="C503:C566" si="49">TEXT(A503,"mmm")</f>
        <v>mai</v>
      </c>
      <c r="D503" t="str">
        <f t="shared" ref="D503:D566" si="50">PROPER(TEXT(A503,"Mmmm"))</f>
        <v>Maio</v>
      </c>
      <c r="E503">
        <f t="shared" si="45"/>
        <v>7</v>
      </c>
      <c r="F503" t="s">
        <v>489</v>
      </c>
      <c r="G503" t="s">
        <v>492</v>
      </c>
      <c r="H503" t="str">
        <f t="shared" si="46"/>
        <v/>
      </c>
      <c r="I503" t="s">
        <v>514</v>
      </c>
      <c r="J503" s="4">
        <v>839</v>
      </c>
      <c r="K503" s="4">
        <f t="shared" si="47"/>
        <v>13465</v>
      </c>
    </row>
    <row r="504" spans="1:11" x14ac:dyDescent="0.25">
      <c r="A504" t="s">
        <v>393</v>
      </c>
      <c r="B504">
        <f t="shared" si="48"/>
        <v>2025</v>
      </c>
      <c r="C504" t="str">
        <f t="shared" si="49"/>
        <v>mai</v>
      </c>
      <c r="D504" t="str">
        <f t="shared" si="50"/>
        <v>Maio</v>
      </c>
      <c r="E504">
        <f t="shared" si="45"/>
        <v>8</v>
      </c>
      <c r="F504" t="s">
        <v>489</v>
      </c>
      <c r="G504" t="s">
        <v>493</v>
      </c>
      <c r="H504" t="str">
        <f t="shared" si="46"/>
        <v/>
      </c>
      <c r="I504" t="s">
        <v>518</v>
      </c>
      <c r="J504" s="4">
        <v>411</v>
      </c>
      <c r="K504" s="4">
        <f t="shared" si="47"/>
        <v>13054</v>
      </c>
    </row>
    <row r="505" spans="1:11" x14ac:dyDescent="0.25">
      <c r="A505" t="s">
        <v>394</v>
      </c>
      <c r="B505">
        <f t="shared" si="48"/>
        <v>2025</v>
      </c>
      <c r="C505" t="str">
        <f t="shared" si="49"/>
        <v>mai</v>
      </c>
      <c r="D505" t="str">
        <f t="shared" si="50"/>
        <v>Maio</v>
      </c>
      <c r="E505">
        <f t="shared" si="45"/>
        <v>12</v>
      </c>
      <c r="F505" t="s">
        <v>489</v>
      </c>
      <c r="G505" t="s">
        <v>492</v>
      </c>
      <c r="H505" t="str">
        <f t="shared" si="46"/>
        <v/>
      </c>
      <c r="I505" t="s">
        <v>508</v>
      </c>
      <c r="J505" s="4">
        <v>291</v>
      </c>
      <c r="K505" s="4">
        <f t="shared" si="47"/>
        <v>12763</v>
      </c>
    </row>
    <row r="506" spans="1:11" x14ac:dyDescent="0.25">
      <c r="A506" t="s">
        <v>395</v>
      </c>
      <c r="B506">
        <f t="shared" si="48"/>
        <v>2025</v>
      </c>
      <c r="C506" t="str">
        <f t="shared" si="49"/>
        <v>mai</v>
      </c>
      <c r="D506" t="str">
        <f t="shared" si="50"/>
        <v>Maio</v>
      </c>
      <c r="E506">
        <f t="shared" si="45"/>
        <v>15</v>
      </c>
      <c r="F506" t="s">
        <v>489</v>
      </c>
      <c r="G506" t="s">
        <v>499</v>
      </c>
      <c r="H506" t="str">
        <f t="shared" si="46"/>
        <v/>
      </c>
      <c r="I506" t="s">
        <v>526</v>
      </c>
      <c r="J506" s="4">
        <v>965</v>
      </c>
      <c r="K506" s="4">
        <f t="shared" si="47"/>
        <v>11798</v>
      </c>
    </row>
    <row r="507" spans="1:11" x14ac:dyDescent="0.25">
      <c r="A507" t="s">
        <v>396</v>
      </c>
      <c r="B507">
        <f t="shared" si="48"/>
        <v>2025</v>
      </c>
      <c r="C507" t="str">
        <f t="shared" si="49"/>
        <v>mai</v>
      </c>
      <c r="D507" t="str">
        <f t="shared" si="50"/>
        <v>Maio</v>
      </c>
      <c r="E507">
        <f t="shared" si="45"/>
        <v>16</v>
      </c>
      <c r="F507" t="s">
        <v>489</v>
      </c>
      <c r="G507" t="s">
        <v>493</v>
      </c>
      <c r="H507" t="str">
        <f t="shared" si="46"/>
        <v/>
      </c>
      <c r="I507" t="s">
        <v>516</v>
      </c>
      <c r="J507" s="4">
        <v>213</v>
      </c>
      <c r="K507" s="4">
        <f t="shared" si="47"/>
        <v>11585</v>
      </c>
    </row>
    <row r="508" spans="1:11" x14ac:dyDescent="0.25">
      <c r="A508" t="s">
        <v>397</v>
      </c>
      <c r="B508">
        <f t="shared" si="48"/>
        <v>2025</v>
      </c>
      <c r="C508" t="str">
        <f t="shared" si="49"/>
        <v>mai</v>
      </c>
      <c r="D508" t="str">
        <f t="shared" si="50"/>
        <v>Maio</v>
      </c>
      <c r="E508">
        <f t="shared" si="45"/>
        <v>18</v>
      </c>
      <c r="F508" t="s">
        <v>489</v>
      </c>
      <c r="G508" t="s">
        <v>492</v>
      </c>
      <c r="H508" t="str">
        <f t="shared" si="46"/>
        <v/>
      </c>
      <c r="I508" t="s">
        <v>523</v>
      </c>
      <c r="J508" s="4">
        <v>1056</v>
      </c>
      <c r="K508" s="4">
        <f t="shared" si="47"/>
        <v>10529</v>
      </c>
    </row>
    <row r="509" spans="1:11" x14ac:dyDescent="0.25">
      <c r="A509" t="s">
        <v>398</v>
      </c>
      <c r="B509">
        <f t="shared" si="48"/>
        <v>2025</v>
      </c>
      <c r="C509" t="str">
        <f t="shared" si="49"/>
        <v>mai</v>
      </c>
      <c r="D509" t="str">
        <f t="shared" si="50"/>
        <v>Maio</v>
      </c>
      <c r="E509">
        <f t="shared" si="45"/>
        <v>20</v>
      </c>
      <c r="F509" t="s">
        <v>489</v>
      </c>
      <c r="G509" t="s">
        <v>492</v>
      </c>
      <c r="H509" t="str">
        <f t="shared" si="46"/>
        <v/>
      </c>
      <c r="I509" t="s">
        <v>517</v>
      </c>
      <c r="J509" s="4">
        <v>254</v>
      </c>
      <c r="K509" s="4">
        <f t="shared" si="47"/>
        <v>10275</v>
      </c>
    </row>
    <row r="510" spans="1:11" x14ac:dyDescent="0.25">
      <c r="A510" t="s">
        <v>399</v>
      </c>
      <c r="B510">
        <f t="shared" si="48"/>
        <v>2025</v>
      </c>
      <c r="C510" t="str">
        <f t="shared" si="49"/>
        <v>mai</v>
      </c>
      <c r="D510" t="str">
        <f t="shared" si="50"/>
        <v>Maio</v>
      </c>
      <c r="E510">
        <f t="shared" si="45"/>
        <v>22</v>
      </c>
      <c r="F510" t="s">
        <v>489</v>
      </c>
      <c r="G510" t="s">
        <v>498</v>
      </c>
      <c r="H510" t="str">
        <f t="shared" si="46"/>
        <v/>
      </c>
      <c r="I510" t="s">
        <v>512</v>
      </c>
      <c r="J510" s="4">
        <v>395</v>
      </c>
      <c r="K510" s="4">
        <f t="shared" si="47"/>
        <v>9880</v>
      </c>
    </row>
    <row r="511" spans="1:11" x14ac:dyDescent="0.25">
      <c r="A511" t="s">
        <v>400</v>
      </c>
      <c r="B511">
        <f t="shared" si="48"/>
        <v>2025</v>
      </c>
      <c r="C511" t="str">
        <f t="shared" si="49"/>
        <v>mai</v>
      </c>
      <c r="D511" t="str">
        <f t="shared" si="50"/>
        <v>Maio</v>
      </c>
      <c r="E511">
        <f t="shared" si="45"/>
        <v>23</v>
      </c>
      <c r="F511" t="s">
        <v>488</v>
      </c>
      <c r="G511" t="s">
        <v>495</v>
      </c>
      <c r="H511" t="str">
        <f t="shared" si="46"/>
        <v>Outras Receitas</v>
      </c>
      <c r="I511" t="s">
        <v>507</v>
      </c>
      <c r="J511" s="4">
        <v>674</v>
      </c>
      <c r="K511" s="4">
        <f t="shared" si="47"/>
        <v>10554</v>
      </c>
    </row>
    <row r="512" spans="1:11" x14ac:dyDescent="0.25">
      <c r="A512" t="s">
        <v>401</v>
      </c>
      <c r="B512">
        <f t="shared" si="48"/>
        <v>2025</v>
      </c>
      <c r="C512" t="str">
        <f t="shared" si="49"/>
        <v>mai</v>
      </c>
      <c r="D512" t="str">
        <f t="shared" si="50"/>
        <v>Maio</v>
      </c>
      <c r="E512">
        <f t="shared" si="45"/>
        <v>26</v>
      </c>
      <c r="F512" t="s">
        <v>489</v>
      </c>
      <c r="G512" t="s">
        <v>492</v>
      </c>
      <c r="H512" t="str">
        <f t="shared" si="46"/>
        <v/>
      </c>
      <c r="I512" t="s">
        <v>502</v>
      </c>
      <c r="J512" s="4">
        <v>163</v>
      </c>
      <c r="K512" s="4">
        <f t="shared" si="47"/>
        <v>10391</v>
      </c>
    </row>
    <row r="513" spans="1:11" x14ac:dyDescent="0.25">
      <c r="A513" t="s">
        <v>401</v>
      </c>
      <c r="B513">
        <f t="shared" si="48"/>
        <v>2025</v>
      </c>
      <c r="C513" t="str">
        <f t="shared" si="49"/>
        <v>mai</v>
      </c>
      <c r="D513" t="str">
        <f t="shared" si="50"/>
        <v>Maio</v>
      </c>
      <c r="E513">
        <f t="shared" si="45"/>
        <v>26</v>
      </c>
      <c r="F513" t="s">
        <v>489</v>
      </c>
      <c r="G513" t="s">
        <v>493</v>
      </c>
      <c r="H513" t="str">
        <f t="shared" si="46"/>
        <v/>
      </c>
      <c r="I513" t="s">
        <v>522</v>
      </c>
      <c r="J513" s="4">
        <v>382</v>
      </c>
      <c r="K513" s="4">
        <f t="shared" si="47"/>
        <v>10009</v>
      </c>
    </row>
    <row r="514" spans="1:11" x14ac:dyDescent="0.25">
      <c r="A514" t="s">
        <v>401</v>
      </c>
      <c r="B514">
        <f t="shared" si="48"/>
        <v>2025</v>
      </c>
      <c r="C514" t="str">
        <f t="shared" si="49"/>
        <v>mai</v>
      </c>
      <c r="D514" t="str">
        <f t="shared" si="50"/>
        <v>Maio</v>
      </c>
      <c r="E514">
        <f t="shared" si="45"/>
        <v>26</v>
      </c>
      <c r="F514" t="s">
        <v>489</v>
      </c>
      <c r="G514" t="s">
        <v>499</v>
      </c>
      <c r="H514" t="str">
        <f t="shared" si="46"/>
        <v/>
      </c>
      <c r="I514" t="s">
        <v>532</v>
      </c>
      <c r="J514" s="4">
        <v>501</v>
      </c>
      <c r="K514" s="4">
        <f t="shared" si="47"/>
        <v>9508</v>
      </c>
    </row>
    <row r="515" spans="1:11" x14ac:dyDescent="0.25">
      <c r="A515" t="s">
        <v>402</v>
      </c>
      <c r="B515">
        <f t="shared" si="48"/>
        <v>2025</v>
      </c>
      <c r="C515" t="str">
        <f t="shared" si="49"/>
        <v>jun</v>
      </c>
      <c r="D515" t="str">
        <f t="shared" si="50"/>
        <v>Junho</v>
      </c>
      <c r="E515">
        <f t="shared" ref="E515:E578" si="51">DAY(A515)</f>
        <v>1</v>
      </c>
      <c r="F515" t="s">
        <v>488</v>
      </c>
      <c r="G515" t="s">
        <v>490</v>
      </c>
      <c r="H515" t="str">
        <f t="shared" ref="H515:H578" si="52">IF(F515="Receita",IF(G515="Salário","Salário","Outras Receitas"),"")</f>
        <v>Salário</v>
      </c>
      <c r="I515" t="s">
        <v>500</v>
      </c>
      <c r="J515" s="4">
        <v>6727</v>
      </c>
      <c r="K515" s="4">
        <f t="shared" ref="K515:K578" si="53">IF(ROW()=2,J515,IF(F515="Receita",K514+J515,K514-J515))</f>
        <v>16235</v>
      </c>
    </row>
    <row r="516" spans="1:11" x14ac:dyDescent="0.25">
      <c r="A516" t="s">
        <v>403</v>
      </c>
      <c r="B516">
        <f t="shared" si="48"/>
        <v>2025</v>
      </c>
      <c r="C516" t="str">
        <f t="shared" si="49"/>
        <v>jun</v>
      </c>
      <c r="D516" t="str">
        <f t="shared" si="50"/>
        <v>Junho</v>
      </c>
      <c r="E516">
        <f t="shared" si="51"/>
        <v>3</v>
      </c>
      <c r="F516" t="s">
        <v>488</v>
      </c>
      <c r="G516" t="s">
        <v>495</v>
      </c>
      <c r="H516" t="str">
        <f t="shared" si="52"/>
        <v>Outras Receitas</v>
      </c>
      <c r="I516" t="s">
        <v>507</v>
      </c>
      <c r="J516" s="4">
        <v>253</v>
      </c>
      <c r="K516" s="4">
        <f t="shared" si="53"/>
        <v>16488</v>
      </c>
    </row>
    <row r="517" spans="1:11" x14ac:dyDescent="0.25">
      <c r="A517" t="s">
        <v>403</v>
      </c>
      <c r="B517">
        <f t="shared" si="48"/>
        <v>2025</v>
      </c>
      <c r="C517" t="str">
        <f t="shared" si="49"/>
        <v>jun</v>
      </c>
      <c r="D517" t="str">
        <f t="shared" si="50"/>
        <v>Junho</v>
      </c>
      <c r="E517">
        <f t="shared" si="51"/>
        <v>3</v>
      </c>
      <c r="F517" t="s">
        <v>489</v>
      </c>
      <c r="G517" t="s">
        <v>493</v>
      </c>
      <c r="H517" t="str">
        <f t="shared" si="52"/>
        <v/>
      </c>
      <c r="I517" t="s">
        <v>518</v>
      </c>
      <c r="J517" s="4">
        <v>430</v>
      </c>
      <c r="K517" s="4">
        <f t="shared" si="53"/>
        <v>16058</v>
      </c>
    </row>
    <row r="518" spans="1:11" x14ac:dyDescent="0.25">
      <c r="A518" t="s">
        <v>404</v>
      </c>
      <c r="B518">
        <f t="shared" si="48"/>
        <v>2025</v>
      </c>
      <c r="C518" t="str">
        <f t="shared" si="49"/>
        <v>jun</v>
      </c>
      <c r="D518" t="str">
        <f t="shared" si="50"/>
        <v>Junho</v>
      </c>
      <c r="E518">
        <f t="shared" si="51"/>
        <v>5</v>
      </c>
      <c r="F518" t="s">
        <v>489</v>
      </c>
      <c r="G518" t="s">
        <v>492</v>
      </c>
      <c r="H518" t="str">
        <f t="shared" si="52"/>
        <v/>
      </c>
      <c r="I518" t="s">
        <v>502</v>
      </c>
      <c r="J518" s="4">
        <v>136</v>
      </c>
      <c r="K518" s="4">
        <f t="shared" si="53"/>
        <v>15922</v>
      </c>
    </row>
    <row r="519" spans="1:11" x14ac:dyDescent="0.25">
      <c r="A519" t="s">
        <v>405</v>
      </c>
      <c r="B519">
        <f t="shared" si="48"/>
        <v>2025</v>
      </c>
      <c r="C519" t="str">
        <f t="shared" si="49"/>
        <v>jun</v>
      </c>
      <c r="D519" t="str">
        <f t="shared" si="50"/>
        <v>Junho</v>
      </c>
      <c r="E519">
        <f t="shared" si="51"/>
        <v>6</v>
      </c>
      <c r="F519" t="s">
        <v>489</v>
      </c>
      <c r="G519" t="s">
        <v>492</v>
      </c>
      <c r="H519" t="str">
        <f t="shared" si="52"/>
        <v/>
      </c>
      <c r="I519" t="s">
        <v>503</v>
      </c>
      <c r="J519" s="4">
        <v>133</v>
      </c>
      <c r="K519" s="4">
        <f t="shared" si="53"/>
        <v>15789</v>
      </c>
    </row>
    <row r="520" spans="1:11" x14ac:dyDescent="0.25">
      <c r="A520" t="s">
        <v>406</v>
      </c>
      <c r="B520">
        <f t="shared" si="48"/>
        <v>2025</v>
      </c>
      <c r="C520" t="str">
        <f t="shared" si="49"/>
        <v>jun</v>
      </c>
      <c r="D520" t="str">
        <f t="shared" si="50"/>
        <v>Junho</v>
      </c>
      <c r="E520">
        <f t="shared" si="51"/>
        <v>8</v>
      </c>
      <c r="F520" t="s">
        <v>488</v>
      </c>
      <c r="G520" t="s">
        <v>494</v>
      </c>
      <c r="H520" t="str">
        <f t="shared" si="52"/>
        <v>Outras Receitas</v>
      </c>
      <c r="I520" t="s">
        <v>506</v>
      </c>
      <c r="J520" s="4">
        <v>581</v>
      </c>
      <c r="K520" s="4">
        <f t="shared" si="53"/>
        <v>16370</v>
      </c>
    </row>
    <row r="521" spans="1:11" x14ac:dyDescent="0.25">
      <c r="A521" t="s">
        <v>407</v>
      </c>
      <c r="B521">
        <f t="shared" si="48"/>
        <v>2025</v>
      </c>
      <c r="C521" t="str">
        <f t="shared" si="49"/>
        <v>jun</v>
      </c>
      <c r="D521" t="str">
        <f t="shared" si="50"/>
        <v>Junho</v>
      </c>
      <c r="E521">
        <f t="shared" si="51"/>
        <v>10</v>
      </c>
      <c r="F521" t="s">
        <v>489</v>
      </c>
      <c r="G521" t="s">
        <v>492</v>
      </c>
      <c r="H521" t="str">
        <f t="shared" si="52"/>
        <v/>
      </c>
      <c r="I521" t="s">
        <v>514</v>
      </c>
      <c r="J521" s="4">
        <v>843</v>
      </c>
      <c r="K521" s="4">
        <f t="shared" si="53"/>
        <v>15527</v>
      </c>
    </row>
    <row r="522" spans="1:11" x14ac:dyDescent="0.25">
      <c r="A522" t="s">
        <v>408</v>
      </c>
      <c r="B522">
        <f t="shared" si="48"/>
        <v>2025</v>
      </c>
      <c r="C522" t="str">
        <f t="shared" si="49"/>
        <v>jun</v>
      </c>
      <c r="D522" t="str">
        <f t="shared" si="50"/>
        <v>Junho</v>
      </c>
      <c r="E522">
        <f t="shared" si="51"/>
        <v>14</v>
      </c>
      <c r="F522" t="s">
        <v>489</v>
      </c>
      <c r="G522" t="s">
        <v>497</v>
      </c>
      <c r="H522" t="str">
        <f t="shared" si="52"/>
        <v/>
      </c>
      <c r="I522" t="s">
        <v>520</v>
      </c>
      <c r="J522" s="4">
        <v>751</v>
      </c>
      <c r="K522" s="4">
        <f t="shared" si="53"/>
        <v>14776</v>
      </c>
    </row>
    <row r="523" spans="1:11" x14ac:dyDescent="0.25">
      <c r="A523" t="s">
        <v>408</v>
      </c>
      <c r="B523">
        <f t="shared" si="48"/>
        <v>2025</v>
      </c>
      <c r="C523" t="str">
        <f t="shared" si="49"/>
        <v>jun</v>
      </c>
      <c r="D523" t="str">
        <f t="shared" si="50"/>
        <v>Junho</v>
      </c>
      <c r="E523">
        <f t="shared" si="51"/>
        <v>14</v>
      </c>
      <c r="F523" t="s">
        <v>488</v>
      </c>
      <c r="G523" t="s">
        <v>491</v>
      </c>
      <c r="H523" t="str">
        <f t="shared" si="52"/>
        <v>Outras Receitas</v>
      </c>
      <c r="I523" t="s">
        <v>501</v>
      </c>
      <c r="J523" s="4">
        <v>1827</v>
      </c>
      <c r="K523" s="4">
        <f t="shared" si="53"/>
        <v>16603</v>
      </c>
    </row>
    <row r="524" spans="1:11" x14ac:dyDescent="0.25">
      <c r="A524" t="s">
        <v>409</v>
      </c>
      <c r="B524">
        <f t="shared" si="48"/>
        <v>2025</v>
      </c>
      <c r="C524" t="str">
        <f t="shared" si="49"/>
        <v>jun</v>
      </c>
      <c r="D524" t="str">
        <f t="shared" si="50"/>
        <v>Junho</v>
      </c>
      <c r="E524">
        <f t="shared" si="51"/>
        <v>16</v>
      </c>
      <c r="F524" t="s">
        <v>489</v>
      </c>
      <c r="G524" t="s">
        <v>493</v>
      </c>
      <c r="H524" t="str">
        <f t="shared" si="52"/>
        <v/>
      </c>
      <c r="I524" t="s">
        <v>516</v>
      </c>
      <c r="J524" s="4">
        <v>239</v>
      </c>
      <c r="K524" s="4">
        <f t="shared" si="53"/>
        <v>16364</v>
      </c>
    </row>
    <row r="525" spans="1:11" x14ac:dyDescent="0.25">
      <c r="A525" t="s">
        <v>410</v>
      </c>
      <c r="B525">
        <f t="shared" si="48"/>
        <v>2025</v>
      </c>
      <c r="C525" t="str">
        <f t="shared" si="49"/>
        <v>jun</v>
      </c>
      <c r="D525" t="str">
        <f t="shared" si="50"/>
        <v>Junho</v>
      </c>
      <c r="E525">
        <f t="shared" si="51"/>
        <v>19</v>
      </c>
      <c r="F525" t="s">
        <v>489</v>
      </c>
      <c r="G525" t="s">
        <v>498</v>
      </c>
      <c r="H525" t="str">
        <f t="shared" si="52"/>
        <v/>
      </c>
      <c r="I525" t="s">
        <v>513</v>
      </c>
      <c r="J525" s="4">
        <v>1283</v>
      </c>
      <c r="K525" s="4">
        <f t="shared" si="53"/>
        <v>15081</v>
      </c>
    </row>
    <row r="526" spans="1:11" x14ac:dyDescent="0.25">
      <c r="A526" t="s">
        <v>411</v>
      </c>
      <c r="B526">
        <f t="shared" si="48"/>
        <v>2025</v>
      </c>
      <c r="C526" t="str">
        <f t="shared" si="49"/>
        <v>jun</v>
      </c>
      <c r="D526" t="str">
        <f t="shared" si="50"/>
        <v>Junho</v>
      </c>
      <c r="E526">
        <f t="shared" si="51"/>
        <v>24</v>
      </c>
      <c r="F526" t="s">
        <v>489</v>
      </c>
      <c r="G526" t="s">
        <v>492</v>
      </c>
      <c r="H526" t="str">
        <f t="shared" si="52"/>
        <v/>
      </c>
      <c r="I526" t="s">
        <v>517</v>
      </c>
      <c r="J526" s="4">
        <v>243</v>
      </c>
      <c r="K526" s="4">
        <f t="shared" si="53"/>
        <v>14838</v>
      </c>
    </row>
    <row r="527" spans="1:11" x14ac:dyDescent="0.25">
      <c r="A527" t="s">
        <v>412</v>
      </c>
      <c r="B527">
        <f t="shared" si="48"/>
        <v>2025</v>
      </c>
      <c r="C527" t="str">
        <f t="shared" si="49"/>
        <v>jun</v>
      </c>
      <c r="D527" t="str">
        <f t="shared" si="50"/>
        <v>Junho</v>
      </c>
      <c r="E527">
        <f t="shared" si="51"/>
        <v>25</v>
      </c>
      <c r="F527" t="s">
        <v>489</v>
      </c>
      <c r="G527" t="s">
        <v>492</v>
      </c>
      <c r="H527" t="str">
        <f t="shared" si="52"/>
        <v/>
      </c>
      <c r="I527" t="s">
        <v>508</v>
      </c>
      <c r="J527" s="4">
        <v>307</v>
      </c>
      <c r="K527" s="4">
        <f t="shared" si="53"/>
        <v>14531</v>
      </c>
    </row>
    <row r="528" spans="1:11" x14ac:dyDescent="0.25">
      <c r="A528" t="s">
        <v>413</v>
      </c>
      <c r="B528">
        <f t="shared" si="48"/>
        <v>2025</v>
      </c>
      <c r="C528" t="str">
        <f t="shared" si="49"/>
        <v>jun</v>
      </c>
      <c r="D528" t="str">
        <f t="shared" si="50"/>
        <v>Junho</v>
      </c>
      <c r="E528">
        <f t="shared" si="51"/>
        <v>26</v>
      </c>
      <c r="F528" t="s">
        <v>489</v>
      </c>
      <c r="G528" t="s">
        <v>492</v>
      </c>
      <c r="H528" t="str">
        <f t="shared" si="52"/>
        <v/>
      </c>
      <c r="I528" t="s">
        <v>504</v>
      </c>
      <c r="J528" s="4">
        <v>2000</v>
      </c>
      <c r="K528" s="4">
        <f t="shared" si="53"/>
        <v>12531</v>
      </c>
    </row>
    <row r="529" spans="1:11" x14ac:dyDescent="0.25">
      <c r="A529" t="s">
        <v>414</v>
      </c>
      <c r="B529">
        <f t="shared" si="48"/>
        <v>2025</v>
      </c>
      <c r="C529" t="str">
        <f t="shared" si="49"/>
        <v>jun</v>
      </c>
      <c r="D529" t="str">
        <f t="shared" si="50"/>
        <v>Junho</v>
      </c>
      <c r="E529">
        <f t="shared" si="51"/>
        <v>27</v>
      </c>
      <c r="F529" t="s">
        <v>489</v>
      </c>
      <c r="G529" t="s">
        <v>498</v>
      </c>
      <c r="H529" t="str">
        <f t="shared" si="52"/>
        <v/>
      </c>
      <c r="I529" t="s">
        <v>512</v>
      </c>
      <c r="J529" s="4">
        <v>297</v>
      </c>
      <c r="K529" s="4">
        <f t="shared" si="53"/>
        <v>12234</v>
      </c>
    </row>
    <row r="530" spans="1:11" x14ac:dyDescent="0.25">
      <c r="A530" t="s">
        <v>414</v>
      </c>
      <c r="B530">
        <f t="shared" si="48"/>
        <v>2025</v>
      </c>
      <c r="C530" t="str">
        <f t="shared" si="49"/>
        <v>jun</v>
      </c>
      <c r="D530" t="str">
        <f t="shared" si="50"/>
        <v>Junho</v>
      </c>
      <c r="E530">
        <f t="shared" si="51"/>
        <v>27</v>
      </c>
      <c r="F530" t="s">
        <v>489</v>
      </c>
      <c r="G530" t="s">
        <v>492</v>
      </c>
      <c r="H530" t="str">
        <f t="shared" si="52"/>
        <v/>
      </c>
      <c r="I530" t="s">
        <v>523</v>
      </c>
      <c r="J530" s="4">
        <v>411</v>
      </c>
      <c r="K530" s="4">
        <f t="shared" si="53"/>
        <v>11823</v>
      </c>
    </row>
    <row r="531" spans="1:11" x14ac:dyDescent="0.25">
      <c r="A531" t="s">
        <v>415</v>
      </c>
      <c r="B531">
        <f t="shared" si="48"/>
        <v>2025</v>
      </c>
      <c r="C531" t="str">
        <f t="shared" si="49"/>
        <v>jul</v>
      </c>
      <c r="D531" t="str">
        <f t="shared" si="50"/>
        <v>Julho</v>
      </c>
      <c r="E531">
        <f t="shared" si="51"/>
        <v>1</v>
      </c>
      <c r="F531" t="s">
        <v>488</v>
      </c>
      <c r="G531" t="s">
        <v>490</v>
      </c>
      <c r="H531" t="str">
        <f t="shared" si="52"/>
        <v>Salário</v>
      </c>
      <c r="I531" t="s">
        <v>500</v>
      </c>
      <c r="J531" s="4">
        <v>6976</v>
      </c>
      <c r="K531" s="4">
        <f t="shared" si="53"/>
        <v>18799</v>
      </c>
    </row>
    <row r="532" spans="1:11" x14ac:dyDescent="0.25">
      <c r="A532" t="s">
        <v>416</v>
      </c>
      <c r="B532">
        <f t="shared" si="48"/>
        <v>2025</v>
      </c>
      <c r="C532" t="str">
        <f t="shared" si="49"/>
        <v>jul</v>
      </c>
      <c r="D532" t="str">
        <f t="shared" si="50"/>
        <v>Julho</v>
      </c>
      <c r="E532">
        <f t="shared" si="51"/>
        <v>4</v>
      </c>
      <c r="F532" t="s">
        <v>488</v>
      </c>
      <c r="G532" t="s">
        <v>495</v>
      </c>
      <c r="H532" t="str">
        <f t="shared" si="52"/>
        <v>Outras Receitas</v>
      </c>
      <c r="I532" t="s">
        <v>507</v>
      </c>
      <c r="J532" s="4">
        <v>473</v>
      </c>
      <c r="K532" s="4">
        <f t="shared" si="53"/>
        <v>19272</v>
      </c>
    </row>
    <row r="533" spans="1:11" x14ac:dyDescent="0.25">
      <c r="A533" t="s">
        <v>417</v>
      </c>
      <c r="B533">
        <f t="shared" si="48"/>
        <v>2025</v>
      </c>
      <c r="C533" t="str">
        <f t="shared" si="49"/>
        <v>jul</v>
      </c>
      <c r="D533" t="str">
        <f t="shared" si="50"/>
        <v>Julho</v>
      </c>
      <c r="E533">
        <f t="shared" si="51"/>
        <v>6</v>
      </c>
      <c r="F533" t="s">
        <v>489</v>
      </c>
      <c r="G533" t="s">
        <v>497</v>
      </c>
      <c r="H533" t="str">
        <f t="shared" si="52"/>
        <v/>
      </c>
      <c r="I533" t="s">
        <v>524</v>
      </c>
      <c r="J533" s="4">
        <v>707</v>
      </c>
      <c r="K533" s="4">
        <f t="shared" si="53"/>
        <v>18565</v>
      </c>
    </row>
    <row r="534" spans="1:11" x14ac:dyDescent="0.25">
      <c r="A534" t="s">
        <v>418</v>
      </c>
      <c r="B534">
        <f t="shared" si="48"/>
        <v>2025</v>
      </c>
      <c r="C534" t="str">
        <f t="shared" si="49"/>
        <v>jul</v>
      </c>
      <c r="D534" t="str">
        <f t="shared" si="50"/>
        <v>Julho</v>
      </c>
      <c r="E534">
        <f t="shared" si="51"/>
        <v>7</v>
      </c>
      <c r="F534" t="s">
        <v>489</v>
      </c>
      <c r="G534" t="s">
        <v>493</v>
      </c>
      <c r="H534" t="str">
        <f t="shared" si="52"/>
        <v/>
      </c>
      <c r="I534" t="s">
        <v>505</v>
      </c>
      <c r="J534" s="4">
        <v>464</v>
      </c>
      <c r="K534" s="4">
        <f t="shared" si="53"/>
        <v>18101</v>
      </c>
    </row>
    <row r="535" spans="1:11" x14ac:dyDescent="0.25">
      <c r="A535" t="s">
        <v>418</v>
      </c>
      <c r="B535">
        <f t="shared" si="48"/>
        <v>2025</v>
      </c>
      <c r="C535" t="str">
        <f t="shared" si="49"/>
        <v>jul</v>
      </c>
      <c r="D535" t="str">
        <f t="shared" si="50"/>
        <v>Julho</v>
      </c>
      <c r="E535">
        <f t="shared" si="51"/>
        <v>7</v>
      </c>
      <c r="F535" t="s">
        <v>489</v>
      </c>
      <c r="G535" t="s">
        <v>492</v>
      </c>
      <c r="H535" t="str">
        <f t="shared" si="52"/>
        <v/>
      </c>
      <c r="I535" t="s">
        <v>517</v>
      </c>
      <c r="J535" s="4">
        <v>239</v>
      </c>
      <c r="K535" s="4">
        <f t="shared" si="53"/>
        <v>17862</v>
      </c>
    </row>
    <row r="536" spans="1:11" x14ac:dyDescent="0.25">
      <c r="A536" t="s">
        <v>419</v>
      </c>
      <c r="B536">
        <f t="shared" si="48"/>
        <v>2025</v>
      </c>
      <c r="C536" t="str">
        <f t="shared" si="49"/>
        <v>jul</v>
      </c>
      <c r="D536" t="str">
        <f t="shared" si="50"/>
        <v>Julho</v>
      </c>
      <c r="E536">
        <f t="shared" si="51"/>
        <v>9</v>
      </c>
      <c r="F536" t="s">
        <v>489</v>
      </c>
      <c r="G536" t="s">
        <v>492</v>
      </c>
      <c r="H536" t="str">
        <f t="shared" si="52"/>
        <v/>
      </c>
      <c r="I536" t="s">
        <v>503</v>
      </c>
      <c r="J536" s="4">
        <v>131</v>
      </c>
      <c r="K536" s="4">
        <f t="shared" si="53"/>
        <v>17731</v>
      </c>
    </row>
    <row r="537" spans="1:11" x14ac:dyDescent="0.25">
      <c r="A537" t="s">
        <v>419</v>
      </c>
      <c r="B537">
        <f t="shared" si="48"/>
        <v>2025</v>
      </c>
      <c r="C537" t="str">
        <f t="shared" si="49"/>
        <v>jul</v>
      </c>
      <c r="D537" t="str">
        <f t="shared" si="50"/>
        <v>Julho</v>
      </c>
      <c r="E537">
        <f t="shared" si="51"/>
        <v>9</v>
      </c>
      <c r="F537" t="s">
        <v>489</v>
      </c>
      <c r="G537" t="s">
        <v>492</v>
      </c>
      <c r="H537" t="str">
        <f t="shared" si="52"/>
        <v/>
      </c>
      <c r="I537" t="s">
        <v>504</v>
      </c>
      <c r="J537" s="4">
        <v>2000</v>
      </c>
      <c r="K537" s="4">
        <f t="shared" si="53"/>
        <v>15731</v>
      </c>
    </row>
    <row r="538" spans="1:11" x14ac:dyDescent="0.25">
      <c r="A538" t="s">
        <v>420</v>
      </c>
      <c r="B538">
        <f t="shared" si="48"/>
        <v>2025</v>
      </c>
      <c r="C538" t="str">
        <f t="shared" si="49"/>
        <v>jul</v>
      </c>
      <c r="D538" t="str">
        <f t="shared" si="50"/>
        <v>Julho</v>
      </c>
      <c r="E538">
        <f t="shared" si="51"/>
        <v>11</v>
      </c>
      <c r="F538" t="s">
        <v>489</v>
      </c>
      <c r="G538" t="s">
        <v>492</v>
      </c>
      <c r="H538" t="str">
        <f t="shared" si="52"/>
        <v/>
      </c>
      <c r="I538" t="s">
        <v>508</v>
      </c>
      <c r="J538" s="4">
        <v>367</v>
      </c>
      <c r="K538" s="4">
        <f t="shared" si="53"/>
        <v>15364</v>
      </c>
    </row>
    <row r="539" spans="1:11" x14ac:dyDescent="0.25">
      <c r="A539" t="s">
        <v>421</v>
      </c>
      <c r="B539">
        <f t="shared" si="48"/>
        <v>2025</v>
      </c>
      <c r="C539" t="str">
        <f t="shared" si="49"/>
        <v>jul</v>
      </c>
      <c r="D539" t="str">
        <f t="shared" si="50"/>
        <v>Julho</v>
      </c>
      <c r="E539">
        <f t="shared" si="51"/>
        <v>15</v>
      </c>
      <c r="F539" t="s">
        <v>489</v>
      </c>
      <c r="G539" t="s">
        <v>492</v>
      </c>
      <c r="H539" t="str">
        <f t="shared" si="52"/>
        <v/>
      </c>
      <c r="I539" t="s">
        <v>514</v>
      </c>
      <c r="J539" s="4">
        <v>924</v>
      </c>
      <c r="K539" s="4">
        <f t="shared" si="53"/>
        <v>14440</v>
      </c>
    </row>
    <row r="540" spans="1:11" x14ac:dyDescent="0.25">
      <c r="A540" t="s">
        <v>422</v>
      </c>
      <c r="B540">
        <f t="shared" si="48"/>
        <v>2025</v>
      </c>
      <c r="C540" t="str">
        <f t="shared" si="49"/>
        <v>jul</v>
      </c>
      <c r="D540" t="str">
        <f t="shared" si="50"/>
        <v>Julho</v>
      </c>
      <c r="E540">
        <f t="shared" si="51"/>
        <v>18</v>
      </c>
      <c r="F540" t="s">
        <v>489</v>
      </c>
      <c r="G540" t="s">
        <v>492</v>
      </c>
      <c r="H540" t="str">
        <f t="shared" si="52"/>
        <v/>
      </c>
      <c r="I540" t="s">
        <v>502</v>
      </c>
      <c r="J540" s="4">
        <v>142</v>
      </c>
      <c r="K540" s="4">
        <f t="shared" si="53"/>
        <v>14298</v>
      </c>
    </row>
    <row r="541" spans="1:11" x14ac:dyDescent="0.25">
      <c r="A541" t="s">
        <v>422</v>
      </c>
      <c r="B541">
        <f t="shared" si="48"/>
        <v>2025</v>
      </c>
      <c r="C541" t="str">
        <f t="shared" si="49"/>
        <v>jul</v>
      </c>
      <c r="D541" t="str">
        <f t="shared" si="50"/>
        <v>Julho</v>
      </c>
      <c r="E541">
        <f t="shared" si="51"/>
        <v>18</v>
      </c>
      <c r="F541" t="s">
        <v>489</v>
      </c>
      <c r="G541" t="s">
        <v>498</v>
      </c>
      <c r="H541" t="str">
        <f t="shared" si="52"/>
        <v/>
      </c>
      <c r="I541" t="s">
        <v>512</v>
      </c>
      <c r="J541" s="4">
        <v>271</v>
      </c>
      <c r="K541" s="4">
        <f t="shared" si="53"/>
        <v>14027</v>
      </c>
    </row>
    <row r="542" spans="1:11" x14ac:dyDescent="0.25">
      <c r="A542" t="s">
        <v>423</v>
      </c>
      <c r="B542">
        <f t="shared" si="48"/>
        <v>2025</v>
      </c>
      <c r="C542" t="str">
        <f t="shared" si="49"/>
        <v>jul</v>
      </c>
      <c r="D542" t="str">
        <f t="shared" si="50"/>
        <v>Julho</v>
      </c>
      <c r="E542">
        <f t="shared" si="51"/>
        <v>22</v>
      </c>
      <c r="F542" t="s">
        <v>489</v>
      </c>
      <c r="G542" t="s">
        <v>498</v>
      </c>
      <c r="H542" t="str">
        <f t="shared" si="52"/>
        <v/>
      </c>
      <c r="I542" t="s">
        <v>513</v>
      </c>
      <c r="J542" s="4">
        <v>888</v>
      </c>
      <c r="K542" s="4">
        <f t="shared" si="53"/>
        <v>13139</v>
      </c>
    </row>
    <row r="543" spans="1:11" x14ac:dyDescent="0.25">
      <c r="A543" t="s">
        <v>423</v>
      </c>
      <c r="B543">
        <f t="shared" si="48"/>
        <v>2025</v>
      </c>
      <c r="C543" t="str">
        <f t="shared" si="49"/>
        <v>jul</v>
      </c>
      <c r="D543" t="str">
        <f t="shared" si="50"/>
        <v>Julho</v>
      </c>
      <c r="E543">
        <f t="shared" si="51"/>
        <v>22</v>
      </c>
      <c r="F543" t="s">
        <v>489</v>
      </c>
      <c r="G543" t="s">
        <v>493</v>
      </c>
      <c r="H543" t="str">
        <f t="shared" si="52"/>
        <v/>
      </c>
      <c r="I543" t="s">
        <v>516</v>
      </c>
      <c r="J543" s="4">
        <v>234</v>
      </c>
      <c r="K543" s="4">
        <f t="shared" si="53"/>
        <v>12905</v>
      </c>
    </row>
    <row r="544" spans="1:11" x14ac:dyDescent="0.25">
      <c r="A544" t="s">
        <v>424</v>
      </c>
      <c r="B544">
        <f t="shared" si="48"/>
        <v>2025</v>
      </c>
      <c r="C544" t="str">
        <f t="shared" si="49"/>
        <v>jul</v>
      </c>
      <c r="D544" t="str">
        <f t="shared" si="50"/>
        <v>Julho</v>
      </c>
      <c r="E544">
        <f t="shared" si="51"/>
        <v>23</v>
      </c>
      <c r="F544" t="s">
        <v>489</v>
      </c>
      <c r="G544" t="s">
        <v>497</v>
      </c>
      <c r="H544" t="str">
        <f t="shared" si="52"/>
        <v/>
      </c>
      <c r="I544" t="s">
        <v>524</v>
      </c>
      <c r="J544" s="4">
        <v>979</v>
      </c>
      <c r="K544" s="4">
        <f t="shared" si="53"/>
        <v>11926</v>
      </c>
    </row>
    <row r="545" spans="1:11" x14ac:dyDescent="0.25">
      <c r="A545" t="s">
        <v>425</v>
      </c>
      <c r="B545">
        <f t="shared" si="48"/>
        <v>2025</v>
      </c>
      <c r="C545" t="str">
        <f t="shared" si="49"/>
        <v>jul</v>
      </c>
      <c r="D545" t="str">
        <f t="shared" si="50"/>
        <v>Julho</v>
      </c>
      <c r="E545">
        <f t="shared" si="51"/>
        <v>24</v>
      </c>
      <c r="F545" t="s">
        <v>488</v>
      </c>
      <c r="G545" t="s">
        <v>491</v>
      </c>
      <c r="H545" t="str">
        <f t="shared" si="52"/>
        <v>Outras Receitas</v>
      </c>
      <c r="I545" t="s">
        <v>501</v>
      </c>
      <c r="J545" s="4">
        <v>1341</v>
      </c>
      <c r="K545" s="4">
        <f t="shared" si="53"/>
        <v>13267</v>
      </c>
    </row>
    <row r="546" spans="1:11" x14ac:dyDescent="0.25">
      <c r="A546" t="s">
        <v>426</v>
      </c>
      <c r="B546">
        <f t="shared" si="48"/>
        <v>2025</v>
      </c>
      <c r="C546" t="str">
        <f t="shared" si="49"/>
        <v>jul</v>
      </c>
      <c r="D546" t="str">
        <f t="shared" si="50"/>
        <v>Julho</v>
      </c>
      <c r="E546">
        <f t="shared" si="51"/>
        <v>25</v>
      </c>
      <c r="F546" t="s">
        <v>489</v>
      </c>
      <c r="G546" t="s">
        <v>493</v>
      </c>
      <c r="H546" t="str">
        <f t="shared" si="52"/>
        <v/>
      </c>
      <c r="I546" t="s">
        <v>518</v>
      </c>
      <c r="J546" s="4">
        <v>594</v>
      </c>
      <c r="K546" s="4">
        <f t="shared" si="53"/>
        <v>12673</v>
      </c>
    </row>
    <row r="547" spans="1:11" x14ac:dyDescent="0.25">
      <c r="A547" t="s">
        <v>427</v>
      </c>
      <c r="B547">
        <f t="shared" si="48"/>
        <v>2025</v>
      </c>
      <c r="C547" t="str">
        <f t="shared" si="49"/>
        <v>jul</v>
      </c>
      <c r="D547" t="str">
        <f t="shared" si="50"/>
        <v>Julho</v>
      </c>
      <c r="E547">
        <f t="shared" si="51"/>
        <v>26</v>
      </c>
      <c r="F547" t="s">
        <v>489</v>
      </c>
      <c r="G547" t="s">
        <v>497</v>
      </c>
      <c r="H547" t="str">
        <f t="shared" si="52"/>
        <v/>
      </c>
      <c r="I547" t="s">
        <v>520</v>
      </c>
      <c r="J547" s="4">
        <v>679</v>
      </c>
      <c r="K547" s="4">
        <f t="shared" si="53"/>
        <v>11994</v>
      </c>
    </row>
    <row r="548" spans="1:11" x14ac:dyDescent="0.25">
      <c r="A548" t="s">
        <v>428</v>
      </c>
      <c r="B548">
        <f t="shared" si="48"/>
        <v>2025</v>
      </c>
      <c r="C548" t="str">
        <f t="shared" si="49"/>
        <v>ago</v>
      </c>
      <c r="D548" t="str">
        <f t="shared" si="50"/>
        <v>Agosto</v>
      </c>
      <c r="E548">
        <f t="shared" si="51"/>
        <v>1</v>
      </c>
      <c r="F548" t="s">
        <v>488</v>
      </c>
      <c r="G548" t="s">
        <v>490</v>
      </c>
      <c r="H548" t="str">
        <f t="shared" si="52"/>
        <v>Salário</v>
      </c>
      <c r="I548" t="s">
        <v>500</v>
      </c>
      <c r="J548" s="4">
        <v>7079</v>
      </c>
      <c r="K548" s="4">
        <f t="shared" si="53"/>
        <v>19073</v>
      </c>
    </row>
    <row r="549" spans="1:11" x14ac:dyDescent="0.25">
      <c r="A549" t="s">
        <v>429</v>
      </c>
      <c r="B549">
        <f t="shared" si="48"/>
        <v>2025</v>
      </c>
      <c r="C549" t="str">
        <f t="shared" si="49"/>
        <v>ago</v>
      </c>
      <c r="D549" t="str">
        <f t="shared" si="50"/>
        <v>Agosto</v>
      </c>
      <c r="E549">
        <f t="shared" si="51"/>
        <v>3</v>
      </c>
      <c r="F549" t="s">
        <v>489</v>
      </c>
      <c r="G549" t="s">
        <v>496</v>
      </c>
      <c r="H549" t="str">
        <f t="shared" si="52"/>
        <v/>
      </c>
      <c r="I549" t="s">
        <v>515</v>
      </c>
      <c r="J549" s="4">
        <v>413</v>
      </c>
      <c r="K549" s="4">
        <f t="shared" si="53"/>
        <v>18660</v>
      </c>
    </row>
    <row r="550" spans="1:11" x14ac:dyDescent="0.25">
      <c r="A550" t="s">
        <v>429</v>
      </c>
      <c r="B550">
        <f t="shared" si="48"/>
        <v>2025</v>
      </c>
      <c r="C550" t="str">
        <f t="shared" si="49"/>
        <v>ago</v>
      </c>
      <c r="D550" t="str">
        <f t="shared" si="50"/>
        <v>Agosto</v>
      </c>
      <c r="E550">
        <f t="shared" si="51"/>
        <v>3</v>
      </c>
      <c r="F550" t="s">
        <v>489</v>
      </c>
      <c r="G550" t="s">
        <v>492</v>
      </c>
      <c r="H550" t="str">
        <f t="shared" si="52"/>
        <v/>
      </c>
      <c r="I550" t="s">
        <v>502</v>
      </c>
      <c r="J550" s="4">
        <v>140</v>
      </c>
      <c r="K550" s="4">
        <f t="shared" si="53"/>
        <v>18520</v>
      </c>
    </row>
    <row r="551" spans="1:11" x14ac:dyDescent="0.25">
      <c r="A551" t="s">
        <v>429</v>
      </c>
      <c r="B551">
        <f t="shared" si="48"/>
        <v>2025</v>
      </c>
      <c r="C551" t="str">
        <f t="shared" si="49"/>
        <v>ago</v>
      </c>
      <c r="D551" t="str">
        <f t="shared" si="50"/>
        <v>Agosto</v>
      </c>
      <c r="E551">
        <f t="shared" si="51"/>
        <v>3</v>
      </c>
      <c r="F551" t="s">
        <v>489</v>
      </c>
      <c r="G551" t="s">
        <v>493</v>
      </c>
      <c r="H551" t="str">
        <f t="shared" si="52"/>
        <v/>
      </c>
      <c r="I551" t="s">
        <v>533</v>
      </c>
      <c r="J551" s="4">
        <v>368</v>
      </c>
      <c r="K551" s="4">
        <f t="shared" si="53"/>
        <v>18152</v>
      </c>
    </row>
    <row r="552" spans="1:11" x14ac:dyDescent="0.25">
      <c r="A552" t="s">
        <v>429</v>
      </c>
      <c r="B552">
        <f t="shared" si="48"/>
        <v>2025</v>
      </c>
      <c r="C552" t="str">
        <f t="shared" si="49"/>
        <v>ago</v>
      </c>
      <c r="D552" t="str">
        <f t="shared" si="50"/>
        <v>Agosto</v>
      </c>
      <c r="E552">
        <f t="shared" si="51"/>
        <v>3</v>
      </c>
      <c r="F552" t="s">
        <v>489</v>
      </c>
      <c r="G552" t="s">
        <v>493</v>
      </c>
      <c r="H552" t="str">
        <f t="shared" si="52"/>
        <v/>
      </c>
      <c r="I552" t="s">
        <v>518</v>
      </c>
      <c r="J552" s="4">
        <v>434</v>
      </c>
      <c r="K552" s="4">
        <f t="shared" si="53"/>
        <v>17718</v>
      </c>
    </row>
    <row r="553" spans="1:11" x14ac:dyDescent="0.25">
      <c r="A553" t="s">
        <v>430</v>
      </c>
      <c r="B553">
        <f t="shared" si="48"/>
        <v>2025</v>
      </c>
      <c r="C553" t="str">
        <f t="shared" si="49"/>
        <v>ago</v>
      </c>
      <c r="D553" t="str">
        <f t="shared" si="50"/>
        <v>Agosto</v>
      </c>
      <c r="E553">
        <f t="shared" si="51"/>
        <v>4</v>
      </c>
      <c r="F553" t="s">
        <v>489</v>
      </c>
      <c r="G553" t="s">
        <v>492</v>
      </c>
      <c r="H553" t="str">
        <f t="shared" si="52"/>
        <v/>
      </c>
      <c r="I553" t="s">
        <v>517</v>
      </c>
      <c r="J553" s="4">
        <v>253</v>
      </c>
      <c r="K553" s="4">
        <f t="shared" si="53"/>
        <v>17465</v>
      </c>
    </row>
    <row r="554" spans="1:11" x14ac:dyDescent="0.25">
      <c r="A554" t="s">
        <v>430</v>
      </c>
      <c r="B554">
        <f t="shared" si="48"/>
        <v>2025</v>
      </c>
      <c r="C554" t="str">
        <f t="shared" si="49"/>
        <v>ago</v>
      </c>
      <c r="D554" t="str">
        <f t="shared" si="50"/>
        <v>Agosto</v>
      </c>
      <c r="E554">
        <f t="shared" si="51"/>
        <v>4</v>
      </c>
      <c r="F554" t="s">
        <v>489</v>
      </c>
      <c r="G554" t="s">
        <v>492</v>
      </c>
      <c r="H554" t="str">
        <f t="shared" si="52"/>
        <v/>
      </c>
      <c r="I554" t="s">
        <v>504</v>
      </c>
      <c r="J554" s="4">
        <v>2000</v>
      </c>
      <c r="K554" s="4">
        <f t="shared" si="53"/>
        <v>15465</v>
      </c>
    </row>
    <row r="555" spans="1:11" x14ac:dyDescent="0.25">
      <c r="A555" t="s">
        <v>431</v>
      </c>
      <c r="B555">
        <f t="shared" si="48"/>
        <v>2025</v>
      </c>
      <c r="C555" t="str">
        <f t="shared" si="49"/>
        <v>ago</v>
      </c>
      <c r="D555" t="str">
        <f t="shared" si="50"/>
        <v>Agosto</v>
      </c>
      <c r="E555">
        <f t="shared" si="51"/>
        <v>11</v>
      </c>
      <c r="F555" t="s">
        <v>489</v>
      </c>
      <c r="G555" t="s">
        <v>492</v>
      </c>
      <c r="H555" t="str">
        <f t="shared" si="52"/>
        <v/>
      </c>
      <c r="I555" t="s">
        <v>514</v>
      </c>
      <c r="J555" s="4">
        <v>890</v>
      </c>
      <c r="K555" s="4">
        <f t="shared" si="53"/>
        <v>14575</v>
      </c>
    </row>
    <row r="556" spans="1:11" x14ac:dyDescent="0.25">
      <c r="A556" t="s">
        <v>431</v>
      </c>
      <c r="B556">
        <f t="shared" si="48"/>
        <v>2025</v>
      </c>
      <c r="C556" t="str">
        <f t="shared" si="49"/>
        <v>ago</v>
      </c>
      <c r="D556" t="str">
        <f t="shared" si="50"/>
        <v>Agosto</v>
      </c>
      <c r="E556">
        <f t="shared" si="51"/>
        <v>11</v>
      </c>
      <c r="F556" t="s">
        <v>489</v>
      </c>
      <c r="G556" t="s">
        <v>498</v>
      </c>
      <c r="H556" t="str">
        <f t="shared" si="52"/>
        <v/>
      </c>
      <c r="I556" t="s">
        <v>529</v>
      </c>
      <c r="J556" s="4">
        <v>851</v>
      </c>
      <c r="K556" s="4">
        <f t="shared" si="53"/>
        <v>13724</v>
      </c>
    </row>
    <row r="557" spans="1:11" x14ac:dyDescent="0.25">
      <c r="A557" t="s">
        <v>432</v>
      </c>
      <c r="B557">
        <f t="shared" si="48"/>
        <v>2025</v>
      </c>
      <c r="C557" t="str">
        <f t="shared" si="49"/>
        <v>ago</v>
      </c>
      <c r="D557" t="str">
        <f t="shared" si="50"/>
        <v>Agosto</v>
      </c>
      <c r="E557">
        <f t="shared" si="51"/>
        <v>12</v>
      </c>
      <c r="F557" t="s">
        <v>489</v>
      </c>
      <c r="G557" t="s">
        <v>498</v>
      </c>
      <c r="H557" t="str">
        <f t="shared" si="52"/>
        <v/>
      </c>
      <c r="I557" t="s">
        <v>527</v>
      </c>
      <c r="J557" s="4">
        <v>367</v>
      </c>
      <c r="K557" s="4">
        <f t="shared" si="53"/>
        <v>13357</v>
      </c>
    </row>
    <row r="558" spans="1:11" x14ac:dyDescent="0.25">
      <c r="A558" t="s">
        <v>433</v>
      </c>
      <c r="B558">
        <f t="shared" si="48"/>
        <v>2025</v>
      </c>
      <c r="C558" t="str">
        <f t="shared" si="49"/>
        <v>ago</v>
      </c>
      <c r="D558" t="str">
        <f t="shared" si="50"/>
        <v>Agosto</v>
      </c>
      <c r="E558">
        <f t="shared" si="51"/>
        <v>13</v>
      </c>
      <c r="F558" t="s">
        <v>489</v>
      </c>
      <c r="G558" t="s">
        <v>499</v>
      </c>
      <c r="H558" t="str">
        <f t="shared" si="52"/>
        <v/>
      </c>
      <c r="I558" t="s">
        <v>531</v>
      </c>
      <c r="J558" s="4">
        <v>385</v>
      </c>
      <c r="K558" s="4">
        <f t="shared" si="53"/>
        <v>12972</v>
      </c>
    </row>
    <row r="559" spans="1:11" x14ac:dyDescent="0.25">
      <c r="A559" t="s">
        <v>434</v>
      </c>
      <c r="B559">
        <f t="shared" si="48"/>
        <v>2025</v>
      </c>
      <c r="C559" t="str">
        <f t="shared" si="49"/>
        <v>ago</v>
      </c>
      <c r="D559" t="str">
        <f t="shared" si="50"/>
        <v>Agosto</v>
      </c>
      <c r="E559">
        <f t="shared" si="51"/>
        <v>18</v>
      </c>
      <c r="F559" t="s">
        <v>489</v>
      </c>
      <c r="G559" t="s">
        <v>499</v>
      </c>
      <c r="H559" t="str">
        <f t="shared" si="52"/>
        <v/>
      </c>
      <c r="I559" t="s">
        <v>526</v>
      </c>
      <c r="J559" s="4">
        <v>1133</v>
      </c>
      <c r="K559" s="4">
        <f t="shared" si="53"/>
        <v>11839</v>
      </c>
    </row>
    <row r="560" spans="1:11" x14ac:dyDescent="0.25">
      <c r="A560" t="s">
        <v>434</v>
      </c>
      <c r="B560">
        <f t="shared" si="48"/>
        <v>2025</v>
      </c>
      <c r="C560" t="str">
        <f t="shared" si="49"/>
        <v>ago</v>
      </c>
      <c r="D560" t="str">
        <f t="shared" si="50"/>
        <v>Agosto</v>
      </c>
      <c r="E560">
        <f t="shared" si="51"/>
        <v>18</v>
      </c>
      <c r="F560" t="s">
        <v>489</v>
      </c>
      <c r="G560" t="s">
        <v>498</v>
      </c>
      <c r="H560" t="str">
        <f t="shared" si="52"/>
        <v/>
      </c>
      <c r="I560" t="s">
        <v>513</v>
      </c>
      <c r="J560" s="4">
        <v>1036</v>
      </c>
      <c r="K560" s="4">
        <f t="shared" si="53"/>
        <v>10803</v>
      </c>
    </row>
    <row r="561" spans="1:11" x14ac:dyDescent="0.25">
      <c r="A561" t="s">
        <v>435</v>
      </c>
      <c r="B561">
        <f t="shared" si="48"/>
        <v>2025</v>
      </c>
      <c r="C561" t="str">
        <f t="shared" si="49"/>
        <v>ago</v>
      </c>
      <c r="D561" t="str">
        <f t="shared" si="50"/>
        <v>Agosto</v>
      </c>
      <c r="E561">
        <f t="shared" si="51"/>
        <v>20</v>
      </c>
      <c r="F561" t="s">
        <v>489</v>
      </c>
      <c r="G561" t="s">
        <v>498</v>
      </c>
      <c r="H561" t="str">
        <f t="shared" si="52"/>
        <v/>
      </c>
      <c r="I561" t="s">
        <v>512</v>
      </c>
      <c r="J561" s="4">
        <v>329</v>
      </c>
      <c r="K561" s="4">
        <f t="shared" si="53"/>
        <v>10474</v>
      </c>
    </row>
    <row r="562" spans="1:11" x14ac:dyDescent="0.25">
      <c r="A562" t="s">
        <v>435</v>
      </c>
      <c r="B562">
        <f t="shared" si="48"/>
        <v>2025</v>
      </c>
      <c r="C562" t="str">
        <f t="shared" si="49"/>
        <v>ago</v>
      </c>
      <c r="D562" t="str">
        <f t="shared" si="50"/>
        <v>Agosto</v>
      </c>
      <c r="E562">
        <f t="shared" si="51"/>
        <v>20</v>
      </c>
      <c r="F562" t="s">
        <v>488</v>
      </c>
      <c r="G562" t="s">
        <v>495</v>
      </c>
      <c r="H562" t="str">
        <f t="shared" si="52"/>
        <v>Outras Receitas</v>
      </c>
      <c r="I562" t="s">
        <v>507</v>
      </c>
      <c r="J562" s="4">
        <v>278</v>
      </c>
      <c r="K562" s="4">
        <f t="shared" si="53"/>
        <v>10752</v>
      </c>
    </row>
    <row r="563" spans="1:11" x14ac:dyDescent="0.25">
      <c r="A563" t="s">
        <v>436</v>
      </c>
      <c r="B563">
        <f t="shared" si="48"/>
        <v>2025</v>
      </c>
      <c r="C563" t="str">
        <f t="shared" si="49"/>
        <v>ago</v>
      </c>
      <c r="D563" t="str">
        <f t="shared" si="50"/>
        <v>Agosto</v>
      </c>
      <c r="E563">
        <f t="shared" si="51"/>
        <v>22</v>
      </c>
      <c r="F563" t="s">
        <v>489</v>
      </c>
      <c r="G563" t="s">
        <v>492</v>
      </c>
      <c r="H563" t="str">
        <f t="shared" si="52"/>
        <v/>
      </c>
      <c r="I563" t="s">
        <v>503</v>
      </c>
      <c r="J563" s="4">
        <v>160</v>
      </c>
      <c r="K563" s="4">
        <f t="shared" si="53"/>
        <v>10592</v>
      </c>
    </row>
    <row r="564" spans="1:11" x14ac:dyDescent="0.25">
      <c r="A564" t="s">
        <v>437</v>
      </c>
      <c r="B564">
        <f t="shared" si="48"/>
        <v>2025</v>
      </c>
      <c r="C564" t="str">
        <f t="shared" si="49"/>
        <v>ago</v>
      </c>
      <c r="D564" t="str">
        <f t="shared" si="50"/>
        <v>Agosto</v>
      </c>
      <c r="E564">
        <f t="shared" si="51"/>
        <v>26</v>
      </c>
      <c r="F564" t="s">
        <v>489</v>
      </c>
      <c r="G564" t="s">
        <v>497</v>
      </c>
      <c r="H564" t="str">
        <f t="shared" si="52"/>
        <v/>
      </c>
      <c r="I564" t="s">
        <v>524</v>
      </c>
      <c r="J564" s="4">
        <v>897</v>
      </c>
      <c r="K564" s="4">
        <f t="shared" si="53"/>
        <v>9695</v>
      </c>
    </row>
    <row r="565" spans="1:11" x14ac:dyDescent="0.25">
      <c r="A565" t="s">
        <v>438</v>
      </c>
      <c r="B565">
        <f t="shared" si="48"/>
        <v>2025</v>
      </c>
      <c r="C565" t="str">
        <f t="shared" si="49"/>
        <v>ago</v>
      </c>
      <c r="D565" t="str">
        <f t="shared" si="50"/>
        <v>Agosto</v>
      </c>
      <c r="E565">
        <f t="shared" si="51"/>
        <v>27</v>
      </c>
      <c r="F565" t="s">
        <v>488</v>
      </c>
      <c r="G565" t="s">
        <v>491</v>
      </c>
      <c r="H565" t="str">
        <f t="shared" si="52"/>
        <v>Outras Receitas</v>
      </c>
      <c r="I565" t="s">
        <v>501</v>
      </c>
      <c r="J565" s="4">
        <v>1162</v>
      </c>
      <c r="K565" s="4">
        <f t="shared" si="53"/>
        <v>10857</v>
      </c>
    </row>
    <row r="566" spans="1:11" x14ac:dyDescent="0.25">
      <c r="A566" t="s">
        <v>438</v>
      </c>
      <c r="B566">
        <f t="shared" si="48"/>
        <v>2025</v>
      </c>
      <c r="C566" t="str">
        <f t="shared" si="49"/>
        <v>ago</v>
      </c>
      <c r="D566" t="str">
        <f t="shared" si="50"/>
        <v>Agosto</v>
      </c>
      <c r="E566">
        <f t="shared" si="51"/>
        <v>27</v>
      </c>
      <c r="F566" t="s">
        <v>489</v>
      </c>
      <c r="G566" t="s">
        <v>497</v>
      </c>
      <c r="H566" t="str">
        <f t="shared" si="52"/>
        <v/>
      </c>
      <c r="I566" t="s">
        <v>524</v>
      </c>
      <c r="J566" s="4">
        <v>167</v>
      </c>
      <c r="K566" s="4">
        <f t="shared" si="53"/>
        <v>10690</v>
      </c>
    </row>
    <row r="567" spans="1:11" x14ac:dyDescent="0.25">
      <c r="A567" t="s">
        <v>438</v>
      </c>
      <c r="B567">
        <f t="shared" ref="B567:B627" si="54">YEAR(A567)</f>
        <v>2025</v>
      </c>
      <c r="C567" t="str">
        <f t="shared" ref="C567:C627" si="55">TEXT(A567,"mmm")</f>
        <v>ago</v>
      </c>
      <c r="D567" t="str">
        <f t="shared" ref="D567:D627" si="56">PROPER(TEXT(A567,"Mmmm"))</f>
        <v>Agosto</v>
      </c>
      <c r="E567">
        <f t="shared" si="51"/>
        <v>27</v>
      </c>
      <c r="F567" t="s">
        <v>489</v>
      </c>
      <c r="G567" t="s">
        <v>497</v>
      </c>
      <c r="H567" t="str">
        <f t="shared" si="52"/>
        <v/>
      </c>
      <c r="I567" t="s">
        <v>520</v>
      </c>
      <c r="J567" s="4">
        <v>733</v>
      </c>
      <c r="K567" s="4">
        <f t="shared" si="53"/>
        <v>9957</v>
      </c>
    </row>
    <row r="568" spans="1:11" x14ac:dyDescent="0.25">
      <c r="A568" t="s">
        <v>438</v>
      </c>
      <c r="B568">
        <f t="shared" si="54"/>
        <v>2025</v>
      </c>
      <c r="C568" t="str">
        <f t="shared" si="55"/>
        <v>ago</v>
      </c>
      <c r="D568" t="str">
        <f t="shared" si="56"/>
        <v>Agosto</v>
      </c>
      <c r="E568">
        <f t="shared" si="51"/>
        <v>27</v>
      </c>
      <c r="F568" t="s">
        <v>489</v>
      </c>
      <c r="G568" t="s">
        <v>493</v>
      </c>
      <c r="H568" t="str">
        <f t="shared" si="52"/>
        <v/>
      </c>
      <c r="I568" t="s">
        <v>528</v>
      </c>
      <c r="J568" s="4">
        <v>271</v>
      </c>
      <c r="K568" s="4">
        <f t="shared" si="53"/>
        <v>9686</v>
      </c>
    </row>
    <row r="569" spans="1:11" x14ac:dyDescent="0.25">
      <c r="A569" t="s">
        <v>438</v>
      </c>
      <c r="B569">
        <f t="shared" si="54"/>
        <v>2025</v>
      </c>
      <c r="C569" t="str">
        <f t="shared" si="55"/>
        <v>ago</v>
      </c>
      <c r="D569" t="str">
        <f t="shared" si="56"/>
        <v>Agosto</v>
      </c>
      <c r="E569">
        <f t="shared" si="51"/>
        <v>27</v>
      </c>
      <c r="F569" t="s">
        <v>489</v>
      </c>
      <c r="G569" t="s">
        <v>493</v>
      </c>
      <c r="H569" t="str">
        <f t="shared" si="52"/>
        <v/>
      </c>
      <c r="I569" t="s">
        <v>516</v>
      </c>
      <c r="J569" s="4">
        <v>223</v>
      </c>
      <c r="K569" s="4">
        <f t="shared" si="53"/>
        <v>9463</v>
      </c>
    </row>
    <row r="570" spans="1:11" x14ac:dyDescent="0.25">
      <c r="A570" t="s">
        <v>439</v>
      </c>
      <c r="B570">
        <f t="shared" si="54"/>
        <v>2025</v>
      </c>
      <c r="C570" t="str">
        <f t="shared" si="55"/>
        <v>ago</v>
      </c>
      <c r="D570" t="str">
        <f t="shared" si="56"/>
        <v>Agosto</v>
      </c>
      <c r="E570">
        <f t="shared" si="51"/>
        <v>28</v>
      </c>
      <c r="F570" t="s">
        <v>489</v>
      </c>
      <c r="G570" t="s">
        <v>492</v>
      </c>
      <c r="H570" t="str">
        <f t="shared" si="52"/>
        <v/>
      </c>
      <c r="I570" t="s">
        <v>508</v>
      </c>
      <c r="J570" s="4">
        <v>279</v>
      </c>
      <c r="K570" s="4">
        <f t="shared" si="53"/>
        <v>9184</v>
      </c>
    </row>
    <row r="571" spans="1:11" x14ac:dyDescent="0.25">
      <c r="A571" t="s">
        <v>440</v>
      </c>
      <c r="B571">
        <f t="shared" si="54"/>
        <v>2025</v>
      </c>
      <c r="C571" t="str">
        <f t="shared" si="55"/>
        <v>set</v>
      </c>
      <c r="D571" t="str">
        <f t="shared" si="56"/>
        <v>Setembro</v>
      </c>
      <c r="E571">
        <f t="shared" si="51"/>
        <v>1</v>
      </c>
      <c r="F571" t="s">
        <v>488</v>
      </c>
      <c r="G571" t="s">
        <v>490</v>
      </c>
      <c r="H571" t="str">
        <f t="shared" si="52"/>
        <v>Salário</v>
      </c>
      <c r="I571" t="s">
        <v>500</v>
      </c>
      <c r="J571" s="4">
        <v>6749</v>
      </c>
      <c r="K571" s="4">
        <f t="shared" si="53"/>
        <v>15933</v>
      </c>
    </row>
    <row r="572" spans="1:11" x14ac:dyDescent="0.25">
      <c r="A572" t="s">
        <v>441</v>
      </c>
      <c r="B572">
        <f t="shared" si="54"/>
        <v>2025</v>
      </c>
      <c r="C572" t="str">
        <f t="shared" si="55"/>
        <v>set</v>
      </c>
      <c r="D572" t="str">
        <f t="shared" si="56"/>
        <v>Setembro</v>
      </c>
      <c r="E572">
        <f t="shared" si="51"/>
        <v>4</v>
      </c>
      <c r="F572" t="s">
        <v>489</v>
      </c>
      <c r="G572" t="s">
        <v>492</v>
      </c>
      <c r="H572" t="str">
        <f t="shared" si="52"/>
        <v/>
      </c>
      <c r="I572" t="s">
        <v>508</v>
      </c>
      <c r="J572" s="4">
        <v>283</v>
      </c>
      <c r="K572" s="4">
        <f t="shared" si="53"/>
        <v>15650</v>
      </c>
    </row>
    <row r="573" spans="1:11" x14ac:dyDescent="0.25">
      <c r="A573" t="s">
        <v>442</v>
      </c>
      <c r="B573">
        <f t="shared" si="54"/>
        <v>2025</v>
      </c>
      <c r="C573" t="str">
        <f t="shared" si="55"/>
        <v>set</v>
      </c>
      <c r="D573" t="str">
        <f t="shared" si="56"/>
        <v>Setembro</v>
      </c>
      <c r="E573">
        <f t="shared" si="51"/>
        <v>8</v>
      </c>
      <c r="F573" t="s">
        <v>489</v>
      </c>
      <c r="G573" t="s">
        <v>493</v>
      </c>
      <c r="H573" t="str">
        <f t="shared" si="52"/>
        <v/>
      </c>
      <c r="I573" t="s">
        <v>505</v>
      </c>
      <c r="J573" s="4">
        <v>1055</v>
      </c>
      <c r="K573" s="4">
        <f t="shared" si="53"/>
        <v>14595</v>
      </c>
    </row>
    <row r="574" spans="1:11" x14ac:dyDescent="0.25">
      <c r="A574" t="s">
        <v>443</v>
      </c>
      <c r="B574">
        <f t="shared" si="54"/>
        <v>2025</v>
      </c>
      <c r="C574" t="str">
        <f t="shared" si="55"/>
        <v>set</v>
      </c>
      <c r="D574" t="str">
        <f t="shared" si="56"/>
        <v>Setembro</v>
      </c>
      <c r="E574">
        <f t="shared" si="51"/>
        <v>12</v>
      </c>
      <c r="F574" t="s">
        <v>489</v>
      </c>
      <c r="G574" t="s">
        <v>492</v>
      </c>
      <c r="H574" t="str">
        <f t="shared" si="52"/>
        <v/>
      </c>
      <c r="I574" t="s">
        <v>517</v>
      </c>
      <c r="J574" s="4">
        <v>258</v>
      </c>
      <c r="K574" s="4">
        <f t="shared" si="53"/>
        <v>14337</v>
      </c>
    </row>
    <row r="575" spans="1:11" x14ac:dyDescent="0.25">
      <c r="A575" t="s">
        <v>444</v>
      </c>
      <c r="B575">
        <f t="shared" si="54"/>
        <v>2025</v>
      </c>
      <c r="C575" t="str">
        <f t="shared" si="55"/>
        <v>set</v>
      </c>
      <c r="D575" t="str">
        <f t="shared" si="56"/>
        <v>Setembro</v>
      </c>
      <c r="E575">
        <f t="shared" si="51"/>
        <v>13</v>
      </c>
      <c r="F575" t="s">
        <v>488</v>
      </c>
      <c r="G575" t="s">
        <v>495</v>
      </c>
      <c r="H575" t="str">
        <f t="shared" si="52"/>
        <v>Outras Receitas</v>
      </c>
      <c r="I575" t="s">
        <v>507</v>
      </c>
      <c r="J575" s="4">
        <v>408</v>
      </c>
      <c r="K575" s="4">
        <f t="shared" si="53"/>
        <v>14745</v>
      </c>
    </row>
    <row r="576" spans="1:11" x14ac:dyDescent="0.25">
      <c r="A576" t="s">
        <v>444</v>
      </c>
      <c r="B576">
        <f t="shared" si="54"/>
        <v>2025</v>
      </c>
      <c r="C576" t="str">
        <f t="shared" si="55"/>
        <v>set</v>
      </c>
      <c r="D576" t="str">
        <f t="shared" si="56"/>
        <v>Setembro</v>
      </c>
      <c r="E576">
        <f t="shared" si="51"/>
        <v>13</v>
      </c>
      <c r="F576" t="s">
        <v>489</v>
      </c>
      <c r="G576" t="s">
        <v>493</v>
      </c>
      <c r="H576" t="str">
        <f t="shared" si="52"/>
        <v/>
      </c>
      <c r="I576" t="s">
        <v>516</v>
      </c>
      <c r="J576" s="4">
        <v>199</v>
      </c>
      <c r="K576" s="4">
        <f t="shared" si="53"/>
        <v>14546</v>
      </c>
    </row>
    <row r="577" spans="1:11" x14ac:dyDescent="0.25">
      <c r="A577" t="s">
        <v>445</v>
      </c>
      <c r="B577">
        <f t="shared" si="54"/>
        <v>2025</v>
      </c>
      <c r="C577" t="str">
        <f t="shared" si="55"/>
        <v>set</v>
      </c>
      <c r="D577" t="str">
        <f t="shared" si="56"/>
        <v>Setembro</v>
      </c>
      <c r="E577">
        <f t="shared" si="51"/>
        <v>14</v>
      </c>
      <c r="F577" t="s">
        <v>489</v>
      </c>
      <c r="G577" t="s">
        <v>492</v>
      </c>
      <c r="H577" t="str">
        <f t="shared" si="52"/>
        <v/>
      </c>
      <c r="I577" t="s">
        <v>503</v>
      </c>
      <c r="J577" s="4">
        <v>148</v>
      </c>
      <c r="K577" s="4">
        <f t="shared" si="53"/>
        <v>14398</v>
      </c>
    </row>
    <row r="578" spans="1:11" x14ac:dyDescent="0.25">
      <c r="A578" t="s">
        <v>446</v>
      </c>
      <c r="B578">
        <f t="shared" si="54"/>
        <v>2025</v>
      </c>
      <c r="C578" t="str">
        <f t="shared" si="55"/>
        <v>set</v>
      </c>
      <c r="D578" t="str">
        <f t="shared" si="56"/>
        <v>Setembro</v>
      </c>
      <c r="E578">
        <f t="shared" si="51"/>
        <v>18</v>
      </c>
      <c r="F578" t="s">
        <v>489</v>
      </c>
      <c r="G578" t="s">
        <v>497</v>
      </c>
      <c r="H578" t="str">
        <f t="shared" si="52"/>
        <v/>
      </c>
      <c r="I578" t="s">
        <v>520</v>
      </c>
      <c r="J578" s="4">
        <v>643</v>
      </c>
      <c r="K578" s="4">
        <f t="shared" si="53"/>
        <v>13755</v>
      </c>
    </row>
    <row r="579" spans="1:11" x14ac:dyDescent="0.25">
      <c r="A579" t="s">
        <v>447</v>
      </c>
      <c r="B579">
        <f t="shared" si="54"/>
        <v>2025</v>
      </c>
      <c r="C579" t="str">
        <f t="shared" si="55"/>
        <v>set</v>
      </c>
      <c r="D579" t="str">
        <f t="shared" si="56"/>
        <v>Setembro</v>
      </c>
      <c r="E579">
        <f t="shared" ref="E579:E637" si="57">DAY(A579)</f>
        <v>21</v>
      </c>
      <c r="F579" t="s">
        <v>489</v>
      </c>
      <c r="G579" t="s">
        <v>492</v>
      </c>
      <c r="H579" t="str">
        <f t="shared" ref="H579:H637" si="58">IF(F579="Receita",IF(G579="Salário","Salário","Outras Receitas"),"")</f>
        <v/>
      </c>
      <c r="I579" t="s">
        <v>502</v>
      </c>
      <c r="J579" s="4">
        <v>199</v>
      </c>
      <c r="K579" s="4">
        <f t="shared" ref="K579:K637" si="59">IF(ROW()=2,J579,IF(F579="Receita",K578+J579,K578-J579))</f>
        <v>13556</v>
      </c>
    </row>
    <row r="580" spans="1:11" x14ac:dyDescent="0.25">
      <c r="A580" t="s">
        <v>447</v>
      </c>
      <c r="B580">
        <f t="shared" si="54"/>
        <v>2025</v>
      </c>
      <c r="C580" t="str">
        <f t="shared" si="55"/>
        <v>set</v>
      </c>
      <c r="D580" t="str">
        <f t="shared" si="56"/>
        <v>Setembro</v>
      </c>
      <c r="E580">
        <f t="shared" si="57"/>
        <v>21</v>
      </c>
      <c r="F580" t="s">
        <v>489</v>
      </c>
      <c r="G580" t="s">
        <v>499</v>
      </c>
      <c r="H580" t="str">
        <f t="shared" si="58"/>
        <v/>
      </c>
      <c r="I580" t="s">
        <v>532</v>
      </c>
      <c r="J580" s="4">
        <v>328</v>
      </c>
      <c r="K580" s="4">
        <f t="shared" si="59"/>
        <v>13228</v>
      </c>
    </row>
    <row r="581" spans="1:11" x14ac:dyDescent="0.25">
      <c r="A581" t="s">
        <v>448</v>
      </c>
      <c r="B581">
        <f t="shared" si="54"/>
        <v>2025</v>
      </c>
      <c r="C581" t="str">
        <f t="shared" si="55"/>
        <v>set</v>
      </c>
      <c r="D581" t="str">
        <f t="shared" si="56"/>
        <v>Setembro</v>
      </c>
      <c r="E581">
        <f t="shared" si="57"/>
        <v>23</v>
      </c>
      <c r="F581" t="s">
        <v>489</v>
      </c>
      <c r="G581" t="s">
        <v>498</v>
      </c>
      <c r="H581" t="str">
        <f t="shared" si="58"/>
        <v/>
      </c>
      <c r="I581" t="s">
        <v>513</v>
      </c>
      <c r="J581" s="4">
        <v>1212</v>
      </c>
      <c r="K581" s="4">
        <f t="shared" si="59"/>
        <v>12016</v>
      </c>
    </row>
    <row r="582" spans="1:11" x14ac:dyDescent="0.25">
      <c r="A582" t="s">
        <v>448</v>
      </c>
      <c r="B582">
        <f t="shared" si="54"/>
        <v>2025</v>
      </c>
      <c r="C582" t="str">
        <f t="shared" si="55"/>
        <v>set</v>
      </c>
      <c r="D582" t="str">
        <f t="shared" si="56"/>
        <v>Setembro</v>
      </c>
      <c r="E582">
        <f t="shared" si="57"/>
        <v>23</v>
      </c>
      <c r="F582" t="s">
        <v>489</v>
      </c>
      <c r="G582" t="s">
        <v>493</v>
      </c>
      <c r="H582" t="str">
        <f t="shared" si="58"/>
        <v/>
      </c>
      <c r="I582" t="s">
        <v>518</v>
      </c>
      <c r="J582" s="4">
        <v>426</v>
      </c>
      <c r="K582" s="4">
        <f t="shared" si="59"/>
        <v>11590</v>
      </c>
    </row>
    <row r="583" spans="1:11" x14ac:dyDescent="0.25">
      <c r="A583" t="s">
        <v>448</v>
      </c>
      <c r="B583">
        <f t="shared" si="54"/>
        <v>2025</v>
      </c>
      <c r="C583" t="str">
        <f t="shared" si="55"/>
        <v>set</v>
      </c>
      <c r="D583" t="str">
        <f t="shared" si="56"/>
        <v>Setembro</v>
      </c>
      <c r="E583">
        <f t="shared" si="57"/>
        <v>23</v>
      </c>
      <c r="F583" t="s">
        <v>488</v>
      </c>
      <c r="G583" t="s">
        <v>491</v>
      </c>
      <c r="H583" t="str">
        <f t="shared" si="58"/>
        <v>Outras Receitas</v>
      </c>
      <c r="I583" t="s">
        <v>501</v>
      </c>
      <c r="J583" s="4">
        <v>889</v>
      </c>
      <c r="K583" s="4">
        <f t="shared" si="59"/>
        <v>12479</v>
      </c>
    </row>
    <row r="584" spans="1:11" x14ac:dyDescent="0.25">
      <c r="A584" t="s">
        <v>448</v>
      </c>
      <c r="B584">
        <f t="shared" si="54"/>
        <v>2025</v>
      </c>
      <c r="C584" t="str">
        <f t="shared" si="55"/>
        <v>set</v>
      </c>
      <c r="D584" t="str">
        <f t="shared" si="56"/>
        <v>Setembro</v>
      </c>
      <c r="E584">
        <f t="shared" si="57"/>
        <v>23</v>
      </c>
      <c r="F584" t="s">
        <v>489</v>
      </c>
      <c r="G584" t="s">
        <v>492</v>
      </c>
      <c r="H584" t="str">
        <f t="shared" si="58"/>
        <v/>
      </c>
      <c r="I584" t="s">
        <v>514</v>
      </c>
      <c r="J584" s="4">
        <v>871</v>
      </c>
      <c r="K584" s="4">
        <f t="shared" si="59"/>
        <v>11608</v>
      </c>
    </row>
    <row r="585" spans="1:11" x14ac:dyDescent="0.25">
      <c r="A585" t="s">
        <v>449</v>
      </c>
      <c r="B585">
        <f t="shared" si="54"/>
        <v>2025</v>
      </c>
      <c r="C585" t="str">
        <f t="shared" si="55"/>
        <v>set</v>
      </c>
      <c r="D585" t="str">
        <f t="shared" si="56"/>
        <v>Setembro</v>
      </c>
      <c r="E585">
        <f t="shared" si="57"/>
        <v>24</v>
      </c>
      <c r="F585" t="s">
        <v>489</v>
      </c>
      <c r="G585" t="s">
        <v>492</v>
      </c>
      <c r="H585" t="str">
        <f t="shared" si="58"/>
        <v/>
      </c>
      <c r="I585" t="s">
        <v>504</v>
      </c>
      <c r="J585" s="4">
        <v>2000</v>
      </c>
      <c r="K585" s="4">
        <f t="shared" si="59"/>
        <v>9608</v>
      </c>
    </row>
    <row r="586" spans="1:11" x14ac:dyDescent="0.25">
      <c r="A586" t="s">
        <v>450</v>
      </c>
      <c r="B586">
        <f t="shared" si="54"/>
        <v>2025</v>
      </c>
      <c r="C586" t="str">
        <f t="shared" si="55"/>
        <v>set</v>
      </c>
      <c r="D586" t="str">
        <f t="shared" si="56"/>
        <v>Setembro</v>
      </c>
      <c r="E586">
        <f t="shared" si="57"/>
        <v>25</v>
      </c>
      <c r="F586" t="s">
        <v>489</v>
      </c>
      <c r="G586" t="s">
        <v>497</v>
      </c>
      <c r="H586" t="str">
        <f t="shared" si="58"/>
        <v/>
      </c>
      <c r="I586" t="s">
        <v>511</v>
      </c>
      <c r="J586" s="4">
        <v>399</v>
      </c>
      <c r="K586" s="4">
        <f t="shared" si="59"/>
        <v>9209</v>
      </c>
    </row>
    <row r="587" spans="1:11" x14ac:dyDescent="0.25">
      <c r="A587" t="s">
        <v>450</v>
      </c>
      <c r="B587">
        <f t="shared" si="54"/>
        <v>2025</v>
      </c>
      <c r="C587" t="str">
        <f t="shared" si="55"/>
        <v>set</v>
      </c>
      <c r="D587" t="str">
        <f t="shared" si="56"/>
        <v>Setembro</v>
      </c>
      <c r="E587">
        <f t="shared" si="57"/>
        <v>25</v>
      </c>
      <c r="F587" t="s">
        <v>489</v>
      </c>
      <c r="G587" t="s">
        <v>498</v>
      </c>
      <c r="H587" t="str">
        <f t="shared" si="58"/>
        <v/>
      </c>
      <c r="I587" t="s">
        <v>512</v>
      </c>
      <c r="J587" s="4">
        <v>400</v>
      </c>
      <c r="K587" s="4">
        <f t="shared" si="59"/>
        <v>8809</v>
      </c>
    </row>
    <row r="588" spans="1:11" x14ac:dyDescent="0.25">
      <c r="A588" t="s">
        <v>451</v>
      </c>
      <c r="B588">
        <f t="shared" si="54"/>
        <v>2025</v>
      </c>
      <c r="C588" t="str">
        <f t="shared" si="55"/>
        <v>out</v>
      </c>
      <c r="D588" t="str">
        <f t="shared" si="56"/>
        <v>Outubro</v>
      </c>
      <c r="E588">
        <f t="shared" si="57"/>
        <v>1</v>
      </c>
      <c r="F588" t="s">
        <v>488</v>
      </c>
      <c r="G588" t="s">
        <v>490</v>
      </c>
      <c r="H588" t="str">
        <f t="shared" si="58"/>
        <v>Salário</v>
      </c>
      <c r="I588" t="s">
        <v>500</v>
      </c>
      <c r="J588" s="4">
        <v>7106</v>
      </c>
      <c r="K588" s="4">
        <f t="shared" si="59"/>
        <v>15915</v>
      </c>
    </row>
    <row r="589" spans="1:11" x14ac:dyDescent="0.25">
      <c r="A589" t="s">
        <v>452</v>
      </c>
      <c r="B589">
        <f t="shared" si="54"/>
        <v>2025</v>
      </c>
      <c r="C589" t="str">
        <f t="shared" si="55"/>
        <v>out</v>
      </c>
      <c r="D589" t="str">
        <f t="shared" si="56"/>
        <v>Outubro</v>
      </c>
      <c r="E589">
        <f t="shared" si="57"/>
        <v>2</v>
      </c>
      <c r="F589" t="s">
        <v>489</v>
      </c>
      <c r="G589" t="s">
        <v>492</v>
      </c>
      <c r="H589" t="str">
        <f t="shared" si="58"/>
        <v/>
      </c>
      <c r="I589" t="s">
        <v>523</v>
      </c>
      <c r="J589" s="4">
        <v>519</v>
      </c>
      <c r="K589" s="4">
        <f t="shared" si="59"/>
        <v>15396</v>
      </c>
    </row>
    <row r="590" spans="1:11" x14ac:dyDescent="0.25">
      <c r="A590" t="s">
        <v>452</v>
      </c>
      <c r="B590">
        <f t="shared" si="54"/>
        <v>2025</v>
      </c>
      <c r="C590" t="str">
        <f t="shared" si="55"/>
        <v>out</v>
      </c>
      <c r="D590" t="str">
        <f t="shared" si="56"/>
        <v>Outubro</v>
      </c>
      <c r="E590">
        <f t="shared" si="57"/>
        <v>2</v>
      </c>
      <c r="F590" t="s">
        <v>489</v>
      </c>
      <c r="G590" t="s">
        <v>499</v>
      </c>
      <c r="H590" t="str">
        <f t="shared" si="58"/>
        <v/>
      </c>
      <c r="I590" t="s">
        <v>526</v>
      </c>
      <c r="J590" s="4">
        <v>775</v>
      </c>
      <c r="K590" s="4">
        <f t="shared" si="59"/>
        <v>14621</v>
      </c>
    </row>
    <row r="591" spans="1:11" x14ac:dyDescent="0.25">
      <c r="A591" t="s">
        <v>453</v>
      </c>
      <c r="B591">
        <f t="shared" si="54"/>
        <v>2025</v>
      </c>
      <c r="C591" t="str">
        <f t="shared" si="55"/>
        <v>out</v>
      </c>
      <c r="D591" t="str">
        <f t="shared" si="56"/>
        <v>Outubro</v>
      </c>
      <c r="E591">
        <f t="shared" si="57"/>
        <v>4</v>
      </c>
      <c r="F591" t="s">
        <v>489</v>
      </c>
      <c r="G591" t="s">
        <v>492</v>
      </c>
      <c r="H591" t="str">
        <f t="shared" si="58"/>
        <v/>
      </c>
      <c r="I591" t="s">
        <v>510</v>
      </c>
      <c r="J591" s="4">
        <v>850</v>
      </c>
      <c r="K591" s="4">
        <f t="shared" si="59"/>
        <v>13771</v>
      </c>
    </row>
    <row r="592" spans="1:11" x14ac:dyDescent="0.25">
      <c r="A592" t="s">
        <v>454</v>
      </c>
      <c r="B592">
        <f t="shared" si="54"/>
        <v>2025</v>
      </c>
      <c r="C592" t="str">
        <f t="shared" si="55"/>
        <v>out</v>
      </c>
      <c r="D592" t="str">
        <f t="shared" si="56"/>
        <v>Outubro</v>
      </c>
      <c r="E592">
        <f t="shared" si="57"/>
        <v>6</v>
      </c>
      <c r="F592" t="s">
        <v>489</v>
      </c>
      <c r="G592" t="s">
        <v>498</v>
      </c>
      <c r="H592" t="str">
        <f t="shared" si="58"/>
        <v/>
      </c>
      <c r="I592" t="s">
        <v>527</v>
      </c>
      <c r="J592" s="4">
        <v>359</v>
      </c>
      <c r="K592" s="4">
        <f t="shared" si="59"/>
        <v>13412</v>
      </c>
    </row>
    <row r="593" spans="1:11" x14ac:dyDescent="0.25">
      <c r="A593" t="s">
        <v>455</v>
      </c>
      <c r="B593">
        <f t="shared" si="54"/>
        <v>2025</v>
      </c>
      <c r="C593" t="str">
        <f t="shared" si="55"/>
        <v>out</v>
      </c>
      <c r="D593" t="str">
        <f t="shared" si="56"/>
        <v>Outubro</v>
      </c>
      <c r="E593">
        <f t="shared" si="57"/>
        <v>7</v>
      </c>
      <c r="F593" t="s">
        <v>489</v>
      </c>
      <c r="G593" t="s">
        <v>493</v>
      </c>
      <c r="H593" t="str">
        <f t="shared" si="58"/>
        <v/>
      </c>
      <c r="I593" t="s">
        <v>518</v>
      </c>
      <c r="J593" s="4">
        <v>550</v>
      </c>
      <c r="K593" s="4">
        <f t="shared" si="59"/>
        <v>12862</v>
      </c>
    </row>
    <row r="594" spans="1:11" x14ac:dyDescent="0.25">
      <c r="A594" t="s">
        <v>456</v>
      </c>
      <c r="B594">
        <f t="shared" si="54"/>
        <v>2025</v>
      </c>
      <c r="C594" t="str">
        <f t="shared" si="55"/>
        <v>out</v>
      </c>
      <c r="D594" t="str">
        <f t="shared" si="56"/>
        <v>Outubro</v>
      </c>
      <c r="E594">
        <f t="shared" si="57"/>
        <v>9</v>
      </c>
      <c r="F594" t="s">
        <v>488</v>
      </c>
      <c r="G594" t="s">
        <v>491</v>
      </c>
      <c r="H594" t="str">
        <f t="shared" si="58"/>
        <v>Outras Receitas</v>
      </c>
      <c r="I594" t="s">
        <v>501</v>
      </c>
      <c r="J594" s="4">
        <v>1509</v>
      </c>
      <c r="K594" s="4">
        <f t="shared" si="59"/>
        <v>14371</v>
      </c>
    </row>
    <row r="595" spans="1:11" x14ac:dyDescent="0.25">
      <c r="A595" t="s">
        <v>456</v>
      </c>
      <c r="B595">
        <f t="shared" si="54"/>
        <v>2025</v>
      </c>
      <c r="C595" t="str">
        <f t="shared" si="55"/>
        <v>out</v>
      </c>
      <c r="D595" t="str">
        <f t="shared" si="56"/>
        <v>Outubro</v>
      </c>
      <c r="E595">
        <f t="shared" si="57"/>
        <v>9</v>
      </c>
      <c r="F595" t="s">
        <v>489</v>
      </c>
      <c r="G595" t="s">
        <v>492</v>
      </c>
      <c r="H595" t="str">
        <f t="shared" si="58"/>
        <v/>
      </c>
      <c r="I595" t="s">
        <v>502</v>
      </c>
      <c r="J595" s="4">
        <v>163</v>
      </c>
      <c r="K595" s="4">
        <f t="shared" si="59"/>
        <v>14208</v>
      </c>
    </row>
    <row r="596" spans="1:11" x14ac:dyDescent="0.25">
      <c r="A596" t="s">
        <v>457</v>
      </c>
      <c r="B596">
        <f t="shared" si="54"/>
        <v>2025</v>
      </c>
      <c r="C596" t="str">
        <f t="shared" si="55"/>
        <v>out</v>
      </c>
      <c r="D596" t="str">
        <f t="shared" si="56"/>
        <v>Outubro</v>
      </c>
      <c r="E596">
        <f t="shared" si="57"/>
        <v>11</v>
      </c>
      <c r="F596" t="s">
        <v>489</v>
      </c>
      <c r="G596" t="s">
        <v>498</v>
      </c>
      <c r="H596" t="str">
        <f t="shared" si="58"/>
        <v/>
      </c>
      <c r="I596" t="s">
        <v>512</v>
      </c>
      <c r="J596" s="4">
        <v>364</v>
      </c>
      <c r="K596" s="4">
        <f t="shared" si="59"/>
        <v>13844</v>
      </c>
    </row>
    <row r="597" spans="1:11" x14ac:dyDescent="0.25">
      <c r="A597" t="s">
        <v>458</v>
      </c>
      <c r="B597">
        <f t="shared" si="54"/>
        <v>2025</v>
      </c>
      <c r="C597" t="str">
        <f t="shared" si="55"/>
        <v>out</v>
      </c>
      <c r="D597" t="str">
        <f t="shared" si="56"/>
        <v>Outubro</v>
      </c>
      <c r="E597">
        <f t="shared" si="57"/>
        <v>16</v>
      </c>
      <c r="F597" t="s">
        <v>489</v>
      </c>
      <c r="G597" t="s">
        <v>498</v>
      </c>
      <c r="H597" t="str">
        <f t="shared" si="58"/>
        <v/>
      </c>
      <c r="I597" t="s">
        <v>513</v>
      </c>
      <c r="J597" s="4">
        <v>1079</v>
      </c>
      <c r="K597" s="4">
        <f t="shared" si="59"/>
        <v>12765</v>
      </c>
    </row>
    <row r="598" spans="1:11" x14ac:dyDescent="0.25">
      <c r="A598" t="s">
        <v>458</v>
      </c>
      <c r="B598">
        <f t="shared" si="54"/>
        <v>2025</v>
      </c>
      <c r="C598" t="str">
        <f t="shared" si="55"/>
        <v>out</v>
      </c>
      <c r="D598" t="str">
        <f t="shared" si="56"/>
        <v>Outubro</v>
      </c>
      <c r="E598">
        <f t="shared" si="57"/>
        <v>16</v>
      </c>
      <c r="F598" t="s">
        <v>489</v>
      </c>
      <c r="G598" t="s">
        <v>492</v>
      </c>
      <c r="H598" t="str">
        <f t="shared" si="58"/>
        <v/>
      </c>
      <c r="I598" t="s">
        <v>514</v>
      </c>
      <c r="J598" s="4">
        <v>828</v>
      </c>
      <c r="K598" s="4">
        <f t="shared" si="59"/>
        <v>11937</v>
      </c>
    </row>
    <row r="599" spans="1:11" x14ac:dyDescent="0.25">
      <c r="A599" t="s">
        <v>459</v>
      </c>
      <c r="B599">
        <f t="shared" si="54"/>
        <v>2025</v>
      </c>
      <c r="C599" t="str">
        <f t="shared" si="55"/>
        <v>out</v>
      </c>
      <c r="D599" t="str">
        <f t="shared" si="56"/>
        <v>Outubro</v>
      </c>
      <c r="E599">
        <f t="shared" si="57"/>
        <v>18</v>
      </c>
      <c r="F599" t="s">
        <v>489</v>
      </c>
      <c r="G599" t="s">
        <v>497</v>
      </c>
      <c r="H599" t="str">
        <f t="shared" si="58"/>
        <v/>
      </c>
      <c r="I599" t="s">
        <v>520</v>
      </c>
      <c r="J599" s="4">
        <v>704</v>
      </c>
      <c r="K599" s="4">
        <f t="shared" si="59"/>
        <v>11233</v>
      </c>
    </row>
    <row r="600" spans="1:11" x14ac:dyDescent="0.25">
      <c r="A600" t="s">
        <v>459</v>
      </c>
      <c r="B600">
        <f t="shared" si="54"/>
        <v>2025</v>
      </c>
      <c r="C600" t="str">
        <f t="shared" si="55"/>
        <v>out</v>
      </c>
      <c r="D600" t="str">
        <f t="shared" si="56"/>
        <v>Outubro</v>
      </c>
      <c r="E600">
        <f t="shared" si="57"/>
        <v>18</v>
      </c>
      <c r="F600" t="s">
        <v>489</v>
      </c>
      <c r="G600" t="s">
        <v>496</v>
      </c>
      <c r="H600" t="str">
        <f t="shared" si="58"/>
        <v/>
      </c>
      <c r="I600" t="s">
        <v>530</v>
      </c>
      <c r="J600" s="4">
        <v>980</v>
      </c>
      <c r="K600" s="4">
        <f t="shared" si="59"/>
        <v>10253</v>
      </c>
    </row>
    <row r="601" spans="1:11" x14ac:dyDescent="0.25">
      <c r="A601" t="s">
        <v>460</v>
      </c>
      <c r="B601">
        <f t="shared" si="54"/>
        <v>2025</v>
      </c>
      <c r="C601" t="str">
        <f t="shared" si="55"/>
        <v>out</v>
      </c>
      <c r="D601" t="str">
        <f t="shared" si="56"/>
        <v>Outubro</v>
      </c>
      <c r="E601">
        <f t="shared" si="57"/>
        <v>21</v>
      </c>
      <c r="F601" t="s">
        <v>488</v>
      </c>
      <c r="G601" t="s">
        <v>495</v>
      </c>
      <c r="H601" t="str">
        <f t="shared" si="58"/>
        <v>Outras Receitas</v>
      </c>
      <c r="I601" t="s">
        <v>507</v>
      </c>
      <c r="J601" s="4">
        <v>395</v>
      </c>
      <c r="K601" s="4">
        <f t="shared" si="59"/>
        <v>10648</v>
      </c>
    </row>
    <row r="602" spans="1:11" x14ac:dyDescent="0.25">
      <c r="A602" t="s">
        <v>461</v>
      </c>
      <c r="B602">
        <f t="shared" si="54"/>
        <v>2025</v>
      </c>
      <c r="C602" t="str">
        <f t="shared" si="55"/>
        <v>out</v>
      </c>
      <c r="D602" t="str">
        <f t="shared" si="56"/>
        <v>Outubro</v>
      </c>
      <c r="E602">
        <f t="shared" si="57"/>
        <v>23</v>
      </c>
      <c r="F602" t="s">
        <v>489</v>
      </c>
      <c r="G602" t="s">
        <v>492</v>
      </c>
      <c r="H602" t="str">
        <f t="shared" si="58"/>
        <v/>
      </c>
      <c r="I602" t="s">
        <v>517</v>
      </c>
      <c r="J602" s="4">
        <v>261</v>
      </c>
      <c r="K602" s="4">
        <f t="shared" si="59"/>
        <v>10387</v>
      </c>
    </row>
    <row r="603" spans="1:11" x14ac:dyDescent="0.25">
      <c r="A603" t="s">
        <v>462</v>
      </c>
      <c r="B603">
        <f t="shared" si="54"/>
        <v>2025</v>
      </c>
      <c r="C603" t="str">
        <f t="shared" si="55"/>
        <v>out</v>
      </c>
      <c r="D603" t="str">
        <f t="shared" si="56"/>
        <v>Outubro</v>
      </c>
      <c r="E603">
        <f t="shared" si="57"/>
        <v>27</v>
      </c>
      <c r="F603" t="s">
        <v>489</v>
      </c>
      <c r="G603" t="s">
        <v>492</v>
      </c>
      <c r="H603" t="str">
        <f t="shared" si="58"/>
        <v/>
      </c>
      <c r="I603" t="s">
        <v>504</v>
      </c>
      <c r="J603" s="4">
        <v>2000</v>
      </c>
      <c r="K603" s="4">
        <f t="shared" si="59"/>
        <v>8387</v>
      </c>
    </row>
    <row r="604" spans="1:11" x14ac:dyDescent="0.25">
      <c r="A604" t="s">
        <v>462</v>
      </c>
      <c r="B604">
        <f t="shared" si="54"/>
        <v>2025</v>
      </c>
      <c r="C604" t="str">
        <f t="shared" si="55"/>
        <v>out</v>
      </c>
      <c r="D604" t="str">
        <f t="shared" si="56"/>
        <v>Outubro</v>
      </c>
      <c r="E604">
        <f t="shared" si="57"/>
        <v>27</v>
      </c>
      <c r="F604" t="s">
        <v>489</v>
      </c>
      <c r="G604" t="s">
        <v>493</v>
      </c>
      <c r="H604" t="str">
        <f t="shared" si="58"/>
        <v/>
      </c>
      <c r="I604" t="s">
        <v>516</v>
      </c>
      <c r="J604" s="4">
        <v>225</v>
      </c>
      <c r="K604" s="4">
        <f t="shared" si="59"/>
        <v>8162</v>
      </c>
    </row>
    <row r="605" spans="1:11" x14ac:dyDescent="0.25">
      <c r="A605" t="s">
        <v>462</v>
      </c>
      <c r="B605">
        <f t="shared" si="54"/>
        <v>2025</v>
      </c>
      <c r="C605" t="str">
        <f t="shared" si="55"/>
        <v>out</v>
      </c>
      <c r="D605" t="str">
        <f t="shared" si="56"/>
        <v>Outubro</v>
      </c>
      <c r="E605">
        <f t="shared" si="57"/>
        <v>27</v>
      </c>
      <c r="F605" t="s">
        <v>489</v>
      </c>
      <c r="G605" t="s">
        <v>492</v>
      </c>
      <c r="H605" t="str">
        <f t="shared" si="58"/>
        <v/>
      </c>
      <c r="I605" t="s">
        <v>508</v>
      </c>
      <c r="J605" s="4">
        <v>375</v>
      </c>
      <c r="K605" s="4">
        <f t="shared" si="59"/>
        <v>7787</v>
      </c>
    </row>
    <row r="606" spans="1:11" x14ac:dyDescent="0.25">
      <c r="A606" t="s">
        <v>463</v>
      </c>
      <c r="B606">
        <f t="shared" si="54"/>
        <v>2025</v>
      </c>
      <c r="C606" t="str">
        <f t="shared" si="55"/>
        <v>out</v>
      </c>
      <c r="D606" t="str">
        <f t="shared" si="56"/>
        <v>Outubro</v>
      </c>
      <c r="E606">
        <f t="shared" si="57"/>
        <v>28</v>
      </c>
      <c r="F606" t="s">
        <v>489</v>
      </c>
      <c r="G606" t="s">
        <v>492</v>
      </c>
      <c r="H606" t="str">
        <f t="shared" si="58"/>
        <v/>
      </c>
      <c r="I606" t="s">
        <v>503</v>
      </c>
      <c r="J606" s="4">
        <v>123</v>
      </c>
      <c r="K606" s="4">
        <f t="shared" si="59"/>
        <v>7664</v>
      </c>
    </row>
    <row r="607" spans="1:11" x14ac:dyDescent="0.25">
      <c r="A607" t="s">
        <v>463</v>
      </c>
      <c r="B607">
        <f t="shared" si="54"/>
        <v>2025</v>
      </c>
      <c r="C607" t="str">
        <f t="shared" si="55"/>
        <v>out</v>
      </c>
      <c r="D607" t="str">
        <f t="shared" si="56"/>
        <v>Outubro</v>
      </c>
      <c r="E607">
        <f t="shared" si="57"/>
        <v>28</v>
      </c>
      <c r="F607" t="s">
        <v>489</v>
      </c>
      <c r="G607" t="s">
        <v>499</v>
      </c>
      <c r="H607" t="str">
        <f t="shared" si="58"/>
        <v/>
      </c>
      <c r="I607" t="s">
        <v>519</v>
      </c>
      <c r="J607" s="4">
        <v>514</v>
      </c>
      <c r="K607" s="4">
        <f t="shared" si="59"/>
        <v>7150</v>
      </c>
    </row>
    <row r="608" spans="1:11" x14ac:dyDescent="0.25">
      <c r="A608" t="s">
        <v>464</v>
      </c>
      <c r="B608">
        <f t="shared" si="54"/>
        <v>2025</v>
      </c>
      <c r="C608" t="str">
        <f t="shared" si="55"/>
        <v>nov</v>
      </c>
      <c r="D608" t="str">
        <f t="shared" si="56"/>
        <v>Novembro</v>
      </c>
      <c r="E608">
        <f t="shared" si="57"/>
        <v>1</v>
      </c>
      <c r="F608" t="s">
        <v>488</v>
      </c>
      <c r="G608" t="s">
        <v>490</v>
      </c>
      <c r="H608" t="str">
        <f t="shared" si="58"/>
        <v>Salário</v>
      </c>
      <c r="I608" t="s">
        <v>500</v>
      </c>
      <c r="J608" s="4">
        <v>6723</v>
      </c>
      <c r="K608" s="4">
        <f t="shared" si="59"/>
        <v>13873</v>
      </c>
    </row>
    <row r="609" spans="1:11" x14ac:dyDescent="0.25">
      <c r="A609" t="s">
        <v>465</v>
      </c>
      <c r="B609">
        <f t="shared" si="54"/>
        <v>2025</v>
      </c>
      <c r="C609" t="str">
        <f t="shared" si="55"/>
        <v>nov</v>
      </c>
      <c r="D609" t="str">
        <f t="shared" si="56"/>
        <v>Novembro</v>
      </c>
      <c r="E609">
        <f t="shared" si="57"/>
        <v>3</v>
      </c>
      <c r="F609" t="s">
        <v>489</v>
      </c>
      <c r="G609" t="s">
        <v>497</v>
      </c>
      <c r="H609" t="str">
        <f t="shared" si="58"/>
        <v/>
      </c>
      <c r="I609" t="s">
        <v>520</v>
      </c>
      <c r="J609" s="4">
        <v>663</v>
      </c>
      <c r="K609" s="4">
        <f t="shared" si="59"/>
        <v>13210</v>
      </c>
    </row>
    <row r="610" spans="1:11" x14ac:dyDescent="0.25">
      <c r="A610" t="s">
        <v>466</v>
      </c>
      <c r="B610">
        <f t="shared" si="54"/>
        <v>2025</v>
      </c>
      <c r="C610" t="str">
        <f t="shared" si="55"/>
        <v>nov</v>
      </c>
      <c r="D610" t="str">
        <f t="shared" si="56"/>
        <v>Novembro</v>
      </c>
      <c r="E610">
        <f t="shared" si="57"/>
        <v>4</v>
      </c>
      <c r="F610" t="s">
        <v>489</v>
      </c>
      <c r="G610" t="s">
        <v>492</v>
      </c>
      <c r="H610" t="str">
        <f t="shared" si="58"/>
        <v/>
      </c>
      <c r="I610" t="s">
        <v>502</v>
      </c>
      <c r="J610" s="4">
        <v>137</v>
      </c>
      <c r="K610" s="4">
        <f t="shared" si="59"/>
        <v>13073</v>
      </c>
    </row>
    <row r="611" spans="1:11" x14ac:dyDescent="0.25">
      <c r="A611" t="s">
        <v>467</v>
      </c>
      <c r="B611">
        <f t="shared" si="54"/>
        <v>2025</v>
      </c>
      <c r="C611" t="str">
        <f t="shared" si="55"/>
        <v>nov</v>
      </c>
      <c r="D611" t="str">
        <f t="shared" si="56"/>
        <v>Novembro</v>
      </c>
      <c r="E611">
        <f t="shared" si="57"/>
        <v>5</v>
      </c>
      <c r="F611" t="s">
        <v>489</v>
      </c>
      <c r="G611" t="s">
        <v>498</v>
      </c>
      <c r="H611" t="str">
        <f t="shared" si="58"/>
        <v/>
      </c>
      <c r="I611" t="s">
        <v>513</v>
      </c>
      <c r="J611" s="4">
        <v>1252</v>
      </c>
      <c r="K611" s="4">
        <f t="shared" si="59"/>
        <v>11821</v>
      </c>
    </row>
    <row r="612" spans="1:11" x14ac:dyDescent="0.25">
      <c r="A612" t="s">
        <v>468</v>
      </c>
      <c r="B612">
        <f t="shared" si="54"/>
        <v>2025</v>
      </c>
      <c r="C612" t="str">
        <f t="shared" si="55"/>
        <v>nov</v>
      </c>
      <c r="D612" t="str">
        <f t="shared" si="56"/>
        <v>Novembro</v>
      </c>
      <c r="E612">
        <f t="shared" si="57"/>
        <v>8</v>
      </c>
      <c r="F612" t="s">
        <v>489</v>
      </c>
      <c r="G612" t="s">
        <v>492</v>
      </c>
      <c r="H612" t="str">
        <f t="shared" si="58"/>
        <v/>
      </c>
      <c r="I612" t="s">
        <v>508</v>
      </c>
      <c r="J612" s="4">
        <v>384</v>
      </c>
      <c r="K612" s="4">
        <f t="shared" si="59"/>
        <v>11437</v>
      </c>
    </row>
    <row r="613" spans="1:11" x14ac:dyDescent="0.25">
      <c r="A613" t="s">
        <v>469</v>
      </c>
      <c r="B613">
        <f t="shared" si="54"/>
        <v>2025</v>
      </c>
      <c r="C613" t="str">
        <f t="shared" si="55"/>
        <v>nov</v>
      </c>
      <c r="D613" t="str">
        <f t="shared" si="56"/>
        <v>Novembro</v>
      </c>
      <c r="E613">
        <f t="shared" si="57"/>
        <v>9</v>
      </c>
      <c r="F613" t="s">
        <v>489</v>
      </c>
      <c r="G613" t="s">
        <v>498</v>
      </c>
      <c r="H613" t="str">
        <f t="shared" si="58"/>
        <v/>
      </c>
      <c r="I613" t="s">
        <v>512</v>
      </c>
      <c r="J613" s="4">
        <v>288</v>
      </c>
      <c r="K613" s="4">
        <f t="shared" si="59"/>
        <v>11149</v>
      </c>
    </row>
    <row r="614" spans="1:11" x14ac:dyDescent="0.25">
      <c r="A614" t="s">
        <v>470</v>
      </c>
      <c r="B614">
        <f t="shared" si="54"/>
        <v>2025</v>
      </c>
      <c r="C614" t="str">
        <f t="shared" si="55"/>
        <v>nov</v>
      </c>
      <c r="D614" t="str">
        <f t="shared" si="56"/>
        <v>Novembro</v>
      </c>
      <c r="E614">
        <f t="shared" si="57"/>
        <v>16</v>
      </c>
      <c r="F614" t="s">
        <v>489</v>
      </c>
      <c r="G614" t="s">
        <v>493</v>
      </c>
      <c r="H614" t="str">
        <f t="shared" si="58"/>
        <v/>
      </c>
      <c r="I614" t="s">
        <v>516</v>
      </c>
      <c r="J614" s="4">
        <v>201</v>
      </c>
      <c r="K614" s="4">
        <f t="shared" si="59"/>
        <v>10948</v>
      </c>
    </row>
    <row r="615" spans="1:11" x14ac:dyDescent="0.25">
      <c r="A615" t="s">
        <v>470</v>
      </c>
      <c r="B615">
        <f t="shared" si="54"/>
        <v>2025</v>
      </c>
      <c r="C615" t="str">
        <f t="shared" si="55"/>
        <v>nov</v>
      </c>
      <c r="D615" t="str">
        <f t="shared" si="56"/>
        <v>Novembro</v>
      </c>
      <c r="E615">
        <f t="shared" si="57"/>
        <v>16</v>
      </c>
      <c r="F615" t="s">
        <v>489</v>
      </c>
      <c r="G615" t="s">
        <v>492</v>
      </c>
      <c r="H615" t="str">
        <f t="shared" si="58"/>
        <v/>
      </c>
      <c r="I615" t="s">
        <v>504</v>
      </c>
      <c r="J615" s="4">
        <v>2000</v>
      </c>
      <c r="K615" s="4">
        <f t="shared" si="59"/>
        <v>8948</v>
      </c>
    </row>
    <row r="616" spans="1:11" x14ac:dyDescent="0.25">
      <c r="A616" t="s">
        <v>471</v>
      </c>
      <c r="B616">
        <f t="shared" si="54"/>
        <v>2025</v>
      </c>
      <c r="C616" t="str">
        <f t="shared" si="55"/>
        <v>nov</v>
      </c>
      <c r="D616" t="str">
        <f t="shared" si="56"/>
        <v>Novembro</v>
      </c>
      <c r="E616">
        <f t="shared" si="57"/>
        <v>19</v>
      </c>
      <c r="F616" t="s">
        <v>489</v>
      </c>
      <c r="G616" t="s">
        <v>492</v>
      </c>
      <c r="H616" t="str">
        <f t="shared" si="58"/>
        <v/>
      </c>
      <c r="I616" t="s">
        <v>503</v>
      </c>
      <c r="J616" s="4">
        <v>165</v>
      </c>
      <c r="K616" s="4">
        <f t="shared" si="59"/>
        <v>8783</v>
      </c>
    </row>
    <row r="617" spans="1:11" x14ac:dyDescent="0.25">
      <c r="A617" t="s">
        <v>472</v>
      </c>
      <c r="B617">
        <f t="shared" si="54"/>
        <v>2025</v>
      </c>
      <c r="C617" t="str">
        <f t="shared" si="55"/>
        <v>nov</v>
      </c>
      <c r="D617" t="str">
        <f t="shared" si="56"/>
        <v>Novembro</v>
      </c>
      <c r="E617">
        <f t="shared" si="57"/>
        <v>20</v>
      </c>
      <c r="F617" t="s">
        <v>489</v>
      </c>
      <c r="G617" t="s">
        <v>498</v>
      </c>
      <c r="H617" t="str">
        <f t="shared" si="58"/>
        <v/>
      </c>
      <c r="I617" t="s">
        <v>527</v>
      </c>
      <c r="J617" s="4">
        <v>552</v>
      </c>
      <c r="K617" s="4">
        <f t="shared" si="59"/>
        <v>8231</v>
      </c>
    </row>
    <row r="618" spans="1:11" x14ac:dyDescent="0.25">
      <c r="A618" t="s">
        <v>473</v>
      </c>
      <c r="B618">
        <f t="shared" si="54"/>
        <v>2025</v>
      </c>
      <c r="C618" t="str">
        <f t="shared" si="55"/>
        <v>nov</v>
      </c>
      <c r="D618" t="str">
        <f t="shared" si="56"/>
        <v>Novembro</v>
      </c>
      <c r="E618">
        <f t="shared" si="57"/>
        <v>21</v>
      </c>
      <c r="F618" t="s">
        <v>489</v>
      </c>
      <c r="G618" t="s">
        <v>492</v>
      </c>
      <c r="H618" t="str">
        <f t="shared" si="58"/>
        <v/>
      </c>
      <c r="I618" t="s">
        <v>517</v>
      </c>
      <c r="J618" s="4">
        <v>251</v>
      </c>
      <c r="K618" s="4">
        <f t="shared" si="59"/>
        <v>7980</v>
      </c>
    </row>
    <row r="619" spans="1:11" x14ac:dyDescent="0.25">
      <c r="A619" t="s">
        <v>473</v>
      </c>
      <c r="B619">
        <f t="shared" si="54"/>
        <v>2025</v>
      </c>
      <c r="C619" t="str">
        <f t="shared" si="55"/>
        <v>nov</v>
      </c>
      <c r="D619" t="str">
        <f t="shared" si="56"/>
        <v>Novembro</v>
      </c>
      <c r="E619">
        <f t="shared" si="57"/>
        <v>21</v>
      </c>
      <c r="F619" t="s">
        <v>489</v>
      </c>
      <c r="G619" t="s">
        <v>492</v>
      </c>
      <c r="H619" t="str">
        <f t="shared" si="58"/>
        <v/>
      </c>
      <c r="I619" t="s">
        <v>514</v>
      </c>
      <c r="J619" s="4">
        <v>766</v>
      </c>
      <c r="K619" s="4">
        <f t="shared" si="59"/>
        <v>7214</v>
      </c>
    </row>
    <row r="620" spans="1:11" x14ac:dyDescent="0.25">
      <c r="A620" t="s">
        <v>474</v>
      </c>
      <c r="B620">
        <f t="shared" si="54"/>
        <v>2025</v>
      </c>
      <c r="C620" t="str">
        <f t="shared" si="55"/>
        <v>nov</v>
      </c>
      <c r="D620" t="str">
        <f t="shared" si="56"/>
        <v>Novembro</v>
      </c>
      <c r="E620">
        <f t="shared" si="57"/>
        <v>22</v>
      </c>
      <c r="F620" t="s">
        <v>489</v>
      </c>
      <c r="G620" t="s">
        <v>493</v>
      </c>
      <c r="H620" t="str">
        <f t="shared" si="58"/>
        <v/>
      </c>
      <c r="I620" t="s">
        <v>518</v>
      </c>
      <c r="J620" s="4">
        <v>543</v>
      </c>
      <c r="K620" s="4">
        <f t="shared" si="59"/>
        <v>6671</v>
      </c>
    </row>
    <row r="621" spans="1:11" x14ac:dyDescent="0.25">
      <c r="A621" t="s">
        <v>475</v>
      </c>
      <c r="B621">
        <f t="shared" si="54"/>
        <v>2025</v>
      </c>
      <c r="C621" t="str">
        <f t="shared" si="55"/>
        <v>nov</v>
      </c>
      <c r="D621" t="str">
        <f t="shared" si="56"/>
        <v>Novembro</v>
      </c>
      <c r="E621">
        <f t="shared" si="57"/>
        <v>24</v>
      </c>
      <c r="F621" t="s">
        <v>488</v>
      </c>
      <c r="G621" t="s">
        <v>494</v>
      </c>
      <c r="H621" t="str">
        <f t="shared" si="58"/>
        <v>Outras Receitas</v>
      </c>
      <c r="I621" t="s">
        <v>506</v>
      </c>
      <c r="J621" s="4">
        <v>1260</v>
      </c>
      <c r="K621" s="4">
        <f t="shared" si="59"/>
        <v>7931</v>
      </c>
    </row>
    <row r="622" spans="1:11" x14ac:dyDescent="0.25">
      <c r="A622" t="s">
        <v>475</v>
      </c>
      <c r="B622">
        <f t="shared" si="54"/>
        <v>2025</v>
      </c>
      <c r="C622" t="str">
        <f t="shared" si="55"/>
        <v>nov</v>
      </c>
      <c r="D622" t="str">
        <f t="shared" si="56"/>
        <v>Novembro</v>
      </c>
      <c r="E622">
        <f t="shared" si="57"/>
        <v>24</v>
      </c>
      <c r="F622" t="s">
        <v>488</v>
      </c>
      <c r="G622" t="s">
        <v>495</v>
      </c>
      <c r="H622" t="str">
        <f t="shared" si="58"/>
        <v>Outras Receitas</v>
      </c>
      <c r="I622" t="s">
        <v>507</v>
      </c>
      <c r="J622" s="4">
        <v>675</v>
      </c>
      <c r="K622" s="4">
        <f t="shared" si="59"/>
        <v>8606</v>
      </c>
    </row>
    <row r="623" spans="1:11" x14ac:dyDescent="0.25">
      <c r="A623" t="s">
        <v>476</v>
      </c>
      <c r="B623">
        <f t="shared" si="54"/>
        <v>2025</v>
      </c>
      <c r="C623" t="str">
        <f t="shared" si="55"/>
        <v>nov</v>
      </c>
      <c r="D623" t="str">
        <f t="shared" si="56"/>
        <v>Novembro</v>
      </c>
      <c r="E623">
        <f t="shared" si="57"/>
        <v>28</v>
      </c>
      <c r="F623" t="s">
        <v>488</v>
      </c>
      <c r="G623" t="s">
        <v>491</v>
      </c>
      <c r="H623" t="str">
        <f t="shared" si="58"/>
        <v>Outras Receitas</v>
      </c>
      <c r="I623" t="s">
        <v>501</v>
      </c>
      <c r="J623" s="4">
        <v>1567</v>
      </c>
      <c r="K623" s="4">
        <f t="shared" si="59"/>
        <v>10173</v>
      </c>
    </row>
    <row r="624" spans="1:11" x14ac:dyDescent="0.25">
      <c r="A624" t="s">
        <v>477</v>
      </c>
      <c r="B624">
        <f t="shared" si="54"/>
        <v>2025</v>
      </c>
      <c r="C624" t="str">
        <f t="shared" si="55"/>
        <v>dez</v>
      </c>
      <c r="D624" t="str">
        <f t="shared" si="56"/>
        <v>Dezembro</v>
      </c>
      <c r="E624">
        <f t="shared" si="57"/>
        <v>1</v>
      </c>
      <c r="F624" t="s">
        <v>488</v>
      </c>
      <c r="G624" t="s">
        <v>490</v>
      </c>
      <c r="H624" t="str">
        <f t="shared" si="58"/>
        <v>Salário</v>
      </c>
      <c r="I624" t="s">
        <v>500</v>
      </c>
      <c r="J624" s="4">
        <v>6950</v>
      </c>
      <c r="K624" s="4">
        <f t="shared" si="59"/>
        <v>17123</v>
      </c>
    </row>
    <row r="625" spans="1:11" x14ac:dyDescent="0.25">
      <c r="A625" t="s">
        <v>478</v>
      </c>
      <c r="B625">
        <f t="shared" si="54"/>
        <v>2025</v>
      </c>
      <c r="C625" t="str">
        <f t="shared" si="55"/>
        <v>dez</v>
      </c>
      <c r="D625" t="str">
        <f t="shared" si="56"/>
        <v>Dezembro</v>
      </c>
      <c r="E625">
        <f t="shared" si="57"/>
        <v>4</v>
      </c>
      <c r="F625" t="s">
        <v>488</v>
      </c>
      <c r="G625" t="s">
        <v>495</v>
      </c>
      <c r="H625" t="str">
        <f t="shared" si="58"/>
        <v>Outras Receitas</v>
      </c>
      <c r="I625" t="s">
        <v>507</v>
      </c>
      <c r="J625" s="4">
        <v>518</v>
      </c>
      <c r="K625" s="4">
        <f t="shared" si="59"/>
        <v>17641</v>
      </c>
    </row>
    <row r="626" spans="1:11" x14ac:dyDescent="0.25">
      <c r="A626" t="s">
        <v>478</v>
      </c>
      <c r="B626">
        <f t="shared" si="54"/>
        <v>2025</v>
      </c>
      <c r="C626" t="str">
        <f t="shared" si="55"/>
        <v>dez</v>
      </c>
      <c r="D626" t="str">
        <f t="shared" si="56"/>
        <v>Dezembro</v>
      </c>
      <c r="E626">
        <f t="shared" si="57"/>
        <v>4</v>
      </c>
      <c r="F626" t="s">
        <v>489</v>
      </c>
      <c r="G626" t="s">
        <v>492</v>
      </c>
      <c r="H626" t="str">
        <f t="shared" si="58"/>
        <v/>
      </c>
      <c r="I626" t="s">
        <v>504</v>
      </c>
      <c r="J626" s="4">
        <v>2000</v>
      </c>
      <c r="K626" s="4">
        <f t="shared" si="59"/>
        <v>15641</v>
      </c>
    </row>
    <row r="627" spans="1:11" x14ac:dyDescent="0.25">
      <c r="A627" t="s">
        <v>479</v>
      </c>
      <c r="B627">
        <f t="shared" si="54"/>
        <v>2025</v>
      </c>
      <c r="C627" t="str">
        <f t="shared" si="55"/>
        <v>dez</v>
      </c>
      <c r="D627" t="str">
        <f t="shared" si="56"/>
        <v>Dezembro</v>
      </c>
      <c r="E627">
        <f t="shared" si="57"/>
        <v>10</v>
      </c>
      <c r="F627" t="s">
        <v>489</v>
      </c>
      <c r="G627" t="s">
        <v>498</v>
      </c>
      <c r="H627" t="str">
        <f t="shared" si="58"/>
        <v/>
      </c>
      <c r="I627" t="s">
        <v>513</v>
      </c>
      <c r="J627" s="4">
        <v>1236</v>
      </c>
      <c r="K627" s="4">
        <f t="shared" si="59"/>
        <v>14405</v>
      </c>
    </row>
    <row r="628" spans="1:11" x14ac:dyDescent="0.25">
      <c r="A628" t="s">
        <v>480</v>
      </c>
      <c r="B628">
        <f t="shared" ref="B628:B637" si="60">YEAR(A628)</f>
        <v>2025</v>
      </c>
      <c r="C628" t="str">
        <f t="shared" ref="C628:C637" si="61">TEXT(A628,"mmm")</f>
        <v>dez</v>
      </c>
      <c r="D628" t="str">
        <f t="shared" ref="D628:D637" si="62">PROPER(TEXT(A628,"Mmmm"))</f>
        <v>Dezembro</v>
      </c>
      <c r="E628">
        <f t="shared" si="57"/>
        <v>13</v>
      </c>
      <c r="F628" t="s">
        <v>489</v>
      </c>
      <c r="G628" t="s">
        <v>497</v>
      </c>
      <c r="H628" t="str">
        <f t="shared" si="58"/>
        <v/>
      </c>
      <c r="I628" t="s">
        <v>520</v>
      </c>
      <c r="J628" s="4">
        <v>664</v>
      </c>
      <c r="K628" s="4">
        <f t="shared" si="59"/>
        <v>13741</v>
      </c>
    </row>
    <row r="629" spans="1:11" x14ac:dyDescent="0.25">
      <c r="A629" t="s">
        <v>480</v>
      </c>
      <c r="B629">
        <f t="shared" si="60"/>
        <v>2025</v>
      </c>
      <c r="C629" t="str">
        <f t="shared" si="61"/>
        <v>dez</v>
      </c>
      <c r="D629" t="str">
        <f t="shared" si="62"/>
        <v>Dezembro</v>
      </c>
      <c r="E629">
        <f t="shared" si="57"/>
        <v>13</v>
      </c>
      <c r="F629" t="s">
        <v>489</v>
      </c>
      <c r="G629" t="s">
        <v>498</v>
      </c>
      <c r="H629" t="str">
        <f t="shared" si="58"/>
        <v/>
      </c>
      <c r="I629" t="s">
        <v>512</v>
      </c>
      <c r="J629" s="4">
        <v>366</v>
      </c>
      <c r="K629" s="4">
        <f t="shared" si="59"/>
        <v>13375</v>
      </c>
    </row>
    <row r="630" spans="1:11" x14ac:dyDescent="0.25">
      <c r="A630" t="s">
        <v>481</v>
      </c>
      <c r="B630">
        <f t="shared" si="60"/>
        <v>2025</v>
      </c>
      <c r="C630" t="str">
        <f t="shared" si="61"/>
        <v>dez</v>
      </c>
      <c r="D630" t="str">
        <f t="shared" si="62"/>
        <v>Dezembro</v>
      </c>
      <c r="E630">
        <f t="shared" si="57"/>
        <v>14</v>
      </c>
      <c r="F630" t="s">
        <v>489</v>
      </c>
      <c r="G630" t="s">
        <v>492</v>
      </c>
      <c r="H630" t="str">
        <f t="shared" si="58"/>
        <v/>
      </c>
      <c r="I630" t="s">
        <v>517</v>
      </c>
      <c r="J630" s="4">
        <v>262</v>
      </c>
      <c r="K630" s="4">
        <f t="shared" si="59"/>
        <v>13113</v>
      </c>
    </row>
    <row r="631" spans="1:11" x14ac:dyDescent="0.25">
      <c r="A631" t="s">
        <v>482</v>
      </c>
      <c r="B631">
        <f t="shared" si="60"/>
        <v>2025</v>
      </c>
      <c r="C631" t="str">
        <f t="shared" si="61"/>
        <v>dez</v>
      </c>
      <c r="D631" t="str">
        <f t="shared" si="62"/>
        <v>Dezembro</v>
      </c>
      <c r="E631">
        <f t="shared" si="57"/>
        <v>17</v>
      </c>
      <c r="F631" t="s">
        <v>489</v>
      </c>
      <c r="G631" t="s">
        <v>492</v>
      </c>
      <c r="H631" t="str">
        <f t="shared" si="58"/>
        <v/>
      </c>
      <c r="I631" t="s">
        <v>503</v>
      </c>
      <c r="J631" s="4">
        <v>114</v>
      </c>
      <c r="K631" s="4">
        <f t="shared" si="59"/>
        <v>12999</v>
      </c>
    </row>
    <row r="632" spans="1:11" x14ac:dyDescent="0.25">
      <c r="A632" t="s">
        <v>483</v>
      </c>
      <c r="B632">
        <f t="shared" si="60"/>
        <v>2025</v>
      </c>
      <c r="C632" t="str">
        <f t="shared" si="61"/>
        <v>dez</v>
      </c>
      <c r="D632" t="str">
        <f t="shared" si="62"/>
        <v>Dezembro</v>
      </c>
      <c r="E632">
        <f t="shared" si="57"/>
        <v>18</v>
      </c>
      <c r="F632" t="s">
        <v>489</v>
      </c>
      <c r="G632" t="s">
        <v>492</v>
      </c>
      <c r="H632" t="str">
        <f t="shared" si="58"/>
        <v/>
      </c>
      <c r="I632" t="s">
        <v>514</v>
      </c>
      <c r="J632" s="4">
        <v>912</v>
      </c>
      <c r="K632" s="4">
        <f t="shared" si="59"/>
        <v>12087</v>
      </c>
    </row>
    <row r="633" spans="1:11" x14ac:dyDescent="0.25">
      <c r="A633" t="s">
        <v>484</v>
      </c>
      <c r="B633">
        <f t="shared" si="60"/>
        <v>2025</v>
      </c>
      <c r="C633" t="str">
        <f t="shared" si="61"/>
        <v>dez</v>
      </c>
      <c r="D633" t="str">
        <f t="shared" si="62"/>
        <v>Dezembro</v>
      </c>
      <c r="E633">
        <f t="shared" si="57"/>
        <v>19</v>
      </c>
      <c r="F633" t="s">
        <v>489</v>
      </c>
      <c r="G633" t="s">
        <v>492</v>
      </c>
      <c r="H633" t="str">
        <f t="shared" si="58"/>
        <v/>
      </c>
      <c r="I633" t="s">
        <v>508</v>
      </c>
      <c r="J633" s="4">
        <v>228</v>
      </c>
      <c r="K633" s="4">
        <f t="shared" si="59"/>
        <v>11859</v>
      </c>
    </row>
    <row r="634" spans="1:11" x14ac:dyDescent="0.25">
      <c r="A634" t="s">
        <v>485</v>
      </c>
      <c r="B634">
        <f t="shared" si="60"/>
        <v>2025</v>
      </c>
      <c r="C634" t="str">
        <f t="shared" si="61"/>
        <v>dez</v>
      </c>
      <c r="D634" t="str">
        <f t="shared" si="62"/>
        <v>Dezembro</v>
      </c>
      <c r="E634">
        <f t="shared" si="57"/>
        <v>23</v>
      </c>
      <c r="F634" t="s">
        <v>488</v>
      </c>
      <c r="G634" t="s">
        <v>491</v>
      </c>
      <c r="H634" t="str">
        <f t="shared" si="58"/>
        <v>Outras Receitas</v>
      </c>
      <c r="I634" t="s">
        <v>501</v>
      </c>
      <c r="J634" s="4">
        <v>1968</v>
      </c>
      <c r="K634" s="4">
        <f t="shared" si="59"/>
        <v>13827</v>
      </c>
    </row>
    <row r="635" spans="1:11" x14ac:dyDescent="0.25">
      <c r="A635" t="s">
        <v>485</v>
      </c>
      <c r="B635">
        <f t="shared" si="60"/>
        <v>2025</v>
      </c>
      <c r="C635" t="str">
        <f t="shared" si="61"/>
        <v>dez</v>
      </c>
      <c r="D635" t="str">
        <f t="shared" si="62"/>
        <v>Dezembro</v>
      </c>
      <c r="E635">
        <f t="shared" si="57"/>
        <v>23</v>
      </c>
      <c r="F635" t="s">
        <v>489</v>
      </c>
      <c r="G635" t="s">
        <v>493</v>
      </c>
      <c r="H635" t="str">
        <f t="shared" si="58"/>
        <v/>
      </c>
      <c r="I635" t="s">
        <v>518</v>
      </c>
      <c r="J635" s="4">
        <v>490</v>
      </c>
      <c r="K635" s="4">
        <f t="shared" si="59"/>
        <v>13337</v>
      </c>
    </row>
    <row r="636" spans="1:11" x14ac:dyDescent="0.25">
      <c r="A636" t="s">
        <v>486</v>
      </c>
      <c r="B636">
        <f t="shared" si="60"/>
        <v>2025</v>
      </c>
      <c r="C636" t="str">
        <f t="shared" si="61"/>
        <v>dez</v>
      </c>
      <c r="D636" t="str">
        <f t="shared" si="62"/>
        <v>Dezembro</v>
      </c>
      <c r="E636">
        <f t="shared" si="57"/>
        <v>26</v>
      </c>
      <c r="F636" t="s">
        <v>489</v>
      </c>
      <c r="G636" t="s">
        <v>493</v>
      </c>
      <c r="H636" t="str">
        <f t="shared" si="58"/>
        <v/>
      </c>
      <c r="I636" t="s">
        <v>516</v>
      </c>
      <c r="J636" s="4">
        <v>224</v>
      </c>
      <c r="K636" s="4">
        <f t="shared" si="59"/>
        <v>13113</v>
      </c>
    </row>
    <row r="637" spans="1:11" x14ac:dyDescent="0.25">
      <c r="A637" t="s">
        <v>487</v>
      </c>
      <c r="B637">
        <f t="shared" si="60"/>
        <v>2025</v>
      </c>
      <c r="C637" t="str">
        <f t="shared" si="61"/>
        <v>dez</v>
      </c>
      <c r="D637" t="str">
        <f t="shared" si="62"/>
        <v>Dezembro</v>
      </c>
      <c r="E637">
        <f t="shared" si="57"/>
        <v>27</v>
      </c>
      <c r="F637" t="s">
        <v>489</v>
      </c>
      <c r="G637" t="s">
        <v>492</v>
      </c>
      <c r="H637" t="str">
        <f t="shared" si="58"/>
        <v/>
      </c>
      <c r="I637" t="s">
        <v>502</v>
      </c>
      <c r="J637" s="4">
        <v>224</v>
      </c>
      <c r="K637" s="4">
        <f t="shared" si="59"/>
        <v>12889</v>
      </c>
    </row>
  </sheetData>
  <autoFilter ref="A1:K63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C6836-B634-495A-A9FF-2E57D150B54F}">
  <dimension ref="A1:W42"/>
  <sheetViews>
    <sheetView topLeftCell="E13" zoomScale="85" zoomScaleNormal="85" workbookViewId="0">
      <selection activeCell="R30" sqref="R30"/>
    </sheetView>
  </sheetViews>
  <sheetFormatPr defaultColWidth="8.28515625" defaultRowHeight="15" x14ac:dyDescent="0.25"/>
  <cols>
    <col min="1" max="1" width="13.28515625" bestFit="1" customWidth="1"/>
    <col min="2" max="2" width="16.28515625" bestFit="1" customWidth="1"/>
    <col min="3" max="3" width="14.85546875" bestFit="1" customWidth="1"/>
    <col min="5" max="5" width="19" bestFit="1" customWidth="1"/>
    <col min="6" max="6" width="12.28515625" bestFit="1" customWidth="1"/>
    <col min="8" max="8" width="13.28515625" bestFit="1" customWidth="1"/>
    <col min="9" max="9" width="12.28515625" bestFit="1" customWidth="1"/>
    <col min="10" max="10" width="13.42578125" bestFit="1" customWidth="1"/>
    <col min="11" max="11" width="9.42578125" bestFit="1" customWidth="1"/>
    <col min="12" max="12" width="13.42578125" bestFit="1" customWidth="1"/>
    <col min="13" max="13" width="10.7109375" bestFit="1" customWidth="1"/>
    <col min="14" max="14" width="2.140625" bestFit="1" customWidth="1"/>
    <col min="15" max="15" width="13.28515625" bestFit="1" customWidth="1"/>
    <col min="16" max="16" width="12.28515625" bestFit="1" customWidth="1"/>
    <col min="17" max="17" width="13.28515625" bestFit="1" customWidth="1"/>
    <col min="18" max="18" width="12.28515625" bestFit="1" customWidth="1"/>
    <col min="19" max="19" width="9.42578125" bestFit="1" customWidth="1"/>
    <col min="21" max="21" width="13.28515625" bestFit="1" customWidth="1"/>
    <col min="22" max="22" width="12.42578125" bestFit="1" customWidth="1"/>
    <col min="23" max="23" width="13.5703125" bestFit="1" customWidth="1"/>
  </cols>
  <sheetData>
    <row r="1" spans="1:23" x14ac:dyDescent="0.25">
      <c r="A1" s="2" t="s">
        <v>1</v>
      </c>
      <c r="B1" t="s">
        <v>488</v>
      </c>
      <c r="E1" s="2" t="s">
        <v>1</v>
      </c>
      <c r="F1" t="s">
        <v>489</v>
      </c>
    </row>
    <row r="3" spans="1:23" x14ac:dyDescent="0.25">
      <c r="A3" s="2" t="s">
        <v>557</v>
      </c>
      <c r="B3" s="2" t="s">
        <v>556</v>
      </c>
      <c r="E3" s="2" t="s">
        <v>555</v>
      </c>
      <c r="F3" t="s">
        <v>557</v>
      </c>
      <c r="I3" s="2" t="s">
        <v>556</v>
      </c>
    </row>
    <row r="4" spans="1:23" x14ac:dyDescent="0.25">
      <c r="A4" s="2" t="s">
        <v>555</v>
      </c>
      <c r="B4" t="s">
        <v>490</v>
      </c>
      <c r="C4" t="s">
        <v>551</v>
      </c>
      <c r="E4" s="3" t="s">
        <v>524</v>
      </c>
      <c r="F4" s="4">
        <v>1054</v>
      </c>
      <c r="I4" t="s">
        <v>489</v>
      </c>
      <c r="K4" t="s">
        <v>488</v>
      </c>
    </row>
    <row r="5" spans="1:23" x14ac:dyDescent="0.25">
      <c r="A5" s="3" t="s">
        <v>537</v>
      </c>
      <c r="B5" s="4">
        <v>7084</v>
      </c>
      <c r="C5" s="4">
        <v>2943</v>
      </c>
      <c r="E5" s="3" t="s">
        <v>511</v>
      </c>
      <c r="F5" s="4">
        <v>4450</v>
      </c>
      <c r="H5" s="2" t="s">
        <v>555</v>
      </c>
      <c r="I5" t="s">
        <v>552</v>
      </c>
      <c r="J5" t="s">
        <v>567</v>
      </c>
      <c r="K5" t="s">
        <v>552</v>
      </c>
      <c r="L5" t="s">
        <v>567</v>
      </c>
    </row>
    <row r="6" spans="1:23" x14ac:dyDescent="0.25">
      <c r="A6" s="3" t="s">
        <v>538</v>
      </c>
      <c r="B6" s="4">
        <v>7089</v>
      </c>
      <c r="C6" s="4">
        <v>2423</v>
      </c>
      <c r="E6" s="3" t="s">
        <v>520</v>
      </c>
      <c r="F6" s="4">
        <v>8553</v>
      </c>
      <c r="H6" s="3" t="s">
        <v>537</v>
      </c>
      <c r="I6" s="4">
        <v>11120</v>
      </c>
      <c r="J6" s="4">
        <v>11120</v>
      </c>
      <c r="K6" s="4">
        <v>10027</v>
      </c>
      <c r="L6" s="4">
        <v>10027</v>
      </c>
      <c r="O6" s="2" t="s">
        <v>1</v>
      </c>
      <c r="P6" t="s">
        <v>489</v>
      </c>
      <c r="U6" s="2" t="s">
        <v>560</v>
      </c>
      <c r="V6" s="3">
        <v>1</v>
      </c>
    </row>
    <row r="7" spans="1:23" x14ac:dyDescent="0.25">
      <c r="A7" s="3" t="s">
        <v>539</v>
      </c>
      <c r="B7" s="4">
        <v>6917</v>
      </c>
      <c r="C7" s="4">
        <v>1939</v>
      </c>
      <c r="H7" s="3" t="s">
        <v>538</v>
      </c>
      <c r="I7" s="4">
        <v>8065</v>
      </c>
      <c r="J7" s="4">
        <v>8065</v>
      </c>
      <c r="K7" s="4">
        <v>9512</v>
      </c>
      <c r="L7" s="4">
        <v>9512</v>
      </c>
    </row>
    <row r="8" spans="1:23" x14ac:dyDescent="0.25">
      <c r="A8" s="3" t="s">
        <v>540</v>
      </c>
      <c r="B8" s="4">
        <v>7190</v>
      </c>
      <c r="C8" s="4">
        <v>3429</v>
      </c>
      <c r="H8" s="3" t="s">
        <v>539</v>
      </c>
      <c r="I8" s="4">
        <v>10457</v>
      </c>
      <c r="J8" s="4">
        <v>10457</v>
      </c>
      <c r="K8" s="4">
        <v>8856</v>
      </c>
      <c r="L8" s="4">
        <v>8856</v>
      </c>
      <c r="O8" s="2" t="s">
        <v>555</v>
      </c>
      <c r="P8" t="s">
        <v>557</v>
      </c>
      <c r="Q8" t="s">
        <v>567</v>
      </c>
      <c r="U8" s="2" t="s">
        <v>555</v>
      </c>
      <c r="V8" t="s">
        <v>559</v>
      </c>
      <c r="W8" t="s">
        <v>568</v>
      </c>
    </row>
    <row r="9" spans="1:23" x14ac:dyDescent="0.25">
      <c r="A9" s="3" t="s">
        <v>541</v>
      </c>
      <c r="B9" s="4">
        <v>7229</v>
      </c>
      <c r="C9" s="4">
        <v>2219</v>
      </c>
      <c r="H9" s="3" t="s">
        <v>540</v>
      </c>
      <c r="I9" s="4">
        <v>8069</v>
      </c>
      <c r="J9" s="4">
        <v>8069</v>
      </c>
      <c r="K9" s="4">
        <v>10619</v>
      </c>
      <c r="L9" s="4">
        <v>10619</v>
      </c>
      <c r="O9" s="3" t="s">
        <v>537</v>
      </c>
      <c r="P9" s="4">
        <v>11120</v>
      </c>
      <c r="Q9" s="4">
        <v>11120</v>
      </c>
      <c r="R9" s="4"/>
      <c r="S9" s="4"/>
      <c r="U9" s="3" t="s">
        <v>537</v>
      </c>
      <c r="V9" s="4">
        <v>7084</v>
      </c>
      <c r="W9" s="4">
        <v>7084</v>
      </c>
    </row>
    <row r="10" spans="1:23" x14ac:dyDescent="0.25">
      <c r="A10" s="3" t="s">
        <v>542</v>
      </c>
      <c r="B10" s="4">
        <v>7241</v>
      </c>
      <c r="C10" s="4">
        <v>1825</v>
      </c>
      <c r="H10" s="3" t="s">
        <v>541</v>
      </c>
      <c r="I10" s="4">
        <v>7650</v>
      </c>
      <c r="J10" s="4">
        <v>7650</v>
      </c>
      <c r="K10" s="4">
        <v>9448</v>
      </c>
      <c r="L10" s="4">
        <v>9448</v>
      </c>
      <c r="O10" s="3" t="s">
        <v>538</v>
      </c>
      <c r="P10" s="4">
        <v>8065</v>
      </c>
      <c r="Q10" s="4">
        <v>8065</v>
      </c>
      <c r="R10" s="4"/>
      <c r="S10" s="4"/>
      <c r="U10" s="3" t="s">
        <v>538</v>
      </c>
      <c r="V10" s="4">
        <v>5996</v>
      </c>
      <c r="W10" s="4">
        <v>5996</v>
      </c>
    </row>
    <row r="11" spans="1:23" x14ac:dyDescent="0.25">
      <c r="A11" s="3" t="s">
        <v>543</v>
      </c>
      <c r="B11" s="4">
        <v>7261</v>
      </c>
      <c r="C11" s="4">
        <v>2949</v>
      </c>
      <c r="H11" s="3" t="s">
        <v>542</v>
      </c>
      <c r="I11" s="4">
        <v>7761</v>
      </c>
      <c r="J11" s="4">
        <v>7761</v>
      </c>
      <c r="K11" s="4">
        <v>9066</v>
      </c>
      <c r="L11" s="4">
        <v>9066</v>
      </c>
      <c r="O11" s="3" t="s">
        <v>539</v>
      </c>
      <c r="P11" s="4">
        <v>10457</v>
      </c>
      <c r="Q11" s="4">
        <v>10457</v>
      </c>
      <c r="R11" s="4"/>
      <c r="S11" s="4"/>
      <c r="U11" s="3" t="s">
        <v>539</v>
      </c>
      <c r="V11" s="4">
        <v>7271</v>
      </c>
      <c r="W11" s="4">
        <v>7271</v>
      </c>
    </row>
    <row r="12" spans="1:23" x14ac:dyDescent="0.25">
      <c r="A12" s="3" t="s">
        <v>544</v>
      </c>
      <c r="B12" s="4">
        <v>7081</v>
      </c>
      <c r="C12" s="4">
        <v>2013</v>
      </c>
      <c r="H12" s="3" t="s">
        <v>543</v>
      </c>
      <c r="I12" s="4">
        <v>7650</v>
      </c>
      <c r="J12" s="4">
        <v>7650</v>
      </c>
      <c r="K12" s="4">
        <v>10210</v>
      </c>
      <c r="L12" s="4">
        <v>10210</v>
      </c>
      <c r="O12" s="3" t="s">
        <v>540</v>
      </c>
      <c r="P12" s="4">
        <v>8069</v>
      </c>
      <c r="Q12" s="4">
        <v>8069</v>
      </c>
      <c r="R12" s="4"/>
      <c r="S12" s="4"/>
      <c r="U12" s="3" t="s">
        <v>540</v>
      </c>
      <c r="V12" s="4">
        <v>5943</v>
      </c>
      <c r="W12" s="4">
        <v>5943</v>
      </c>
    </row>
    <row r="13" spans="1:23" x14ac:dyDescent="0.25">
      <c r="A13" s="3" t="s">
        <v>545</v>
      </c>
      <c r="B13" s="4">
        <v>7223</v>
      </c>
      <c r="C13" s="4">
        <v>1723</v>
      </c>
      <c r="H13" s="3" t="s">
        <v>544</v>
      </c>
      <c r="I13" s="4">
        <v>9616</v>
      </c>
      <c r="J13" s="4">
        <v>9616</v>
      </c>
      <c r="K13" s="4">
        <v>9094</v>
      </c>
      <c r="L13" s="4">
        <v>9094</v>
      </c>
      <c r="O13" s="3" t="s">
        <v>541</v>
      </c>
      <c r="P13" s="4">
        <v>7650</v>
      </c>
      <c r="Q13" s="4">
        <v>7650</v>
      </c>
      <c r="R13" s="4"/>
      <c r="S13" s="4"/>
      <c r="U13" s="3" t="s">
        <v>541</v>
      </c>
      <c r="V13" s="4">
        <v>8532</v>
      </c>
      <c r="W13" s="4">
        <v>8532</v>
      </c>
    </row>
    <row r="14" spans="1:23" x14ac:dyDescent="0.25">
      <c r="A14" s="3" t="s">
        <v>546</v>
      </c>
      <c r="B14" s="4">
        <v>6896</v>
      </c>
      <c r="C14" s="4">
        <v>2596</v>
      </c>
      <c r="H14" s="3" t="s">
        <v>545</v>
      </c>
      <c r="I14" s="4">
        <v>10146</v>
      </c>
      <c r="J14" s="4">
        <v>10146</v>
      </c>
      <c r="K14" s="4">
        <v>8946</v>
      </c>
      <c r="L14" s="4">
        <v>8946</v>
      </c>
      <c r="O14" s="3" t="s">
        <v>542</v>
      </c>
      <c r="P14" s="4">
        <v>7761</v>
      </c>
      <c r="Q14" s="4">
        <v>7761</v>
      </c>
      <c r="R14" s="4"/>
      <c r="S14" s="4"/>
      <c r="U14" s="3" t="s">
        <v>542</v>
      </c>
      <c r="V14" s="4">
        <v>10342</v>
      </c>
      <c r="W14" s="4">
        <v>10342</v>
      </c>
    </row>
    <row r="15" spans="1:23" x14ac:dyDescent="0.25">
      <c r="A15" s="3" t="s">
        <v>547</v>
      </c>
      <c r="B15" s="4">
        <v>7045</v>
      </c>
      <c r="C15" s="4">
        <v>2151</v>
      </c>
      <c r="H15" s="3" t="s">
        <v>546</v>
      </c>
      <c r="I15" s="4">
        <v>7332</v>
      </c>
      <c r="J15" s="4">
        <v>7332</v>
      </c>
      <c r="K15" s="4">
        <v>9492</v>
      </c>
      <c r="L15" s="4">
        <v>9492</v>
      </c>
      <c r="O15" s="3" t="s">
        <v>543</v>
      </c>
      <c r="P15" s="4">
        <v>7650</v>
      </c>
      <c r="Q15" s="4">
        <v>7650</v>
      </c>
      <c r="R15" s="4"/>
      <c r="S15" s="4"/>
      <c r="U15" s="3" t="s">
        <v>543</v>
      </c>
      <c r="V15" s="4">
        <v>11667</v>
      </c>
      <c r="W15" s="4">
        <v>11667</v>
      </c>
    </row>
    <row r="16" spans="1:23" x14ac:dyDescent="0.25">
      <c r="A16" s="3" t="s">
        <v>548</v>
      </c>
      <c r="B16" s="4">
        <v>6985</v>
      </c>
      <c r="C16" s="4">
        <v>1682</v>
      </c>
      <c r="H16" s="3" t="s">
        <v>547</v>
      </c>
      <c r="I16" s="4">
        <v>6734</v>
      </c>
      <c r="J16" s="4">
        <v>6734</v>
      </c>
      <c r="K16" s="4">
        <v>9196</v>
      </c>
      <c r="L16" s="4">
        <v>9196</v>
      </c>
      <c r="O16" s="3" t="s">
        <v>544</v>
      </c>
      <c r="P16" s="4">
        <v>9616</v>
      </c>
      <c r="Q16" s="4">
        <v>9616</v>
      </c>
      <c r="R16" s="4"/>
      <c r="S16" s="4"/>
      <c r="U16" s="3" t="s">
        <v>544</v>
      </c>
      <c r="V16" s="4">
        <v>14047</v>
      </c>
      <c r="W16" s="4">
        <v>14047</v>
      </c>
    </row>
    <row r="17" spans="8:23" x14ac:dyDescent="0.25">
      <c r="H17" s="3" t="s">
        <v>548</v>
      </c>
      <c r="I17" s="4">
        <v>8400</v>
      </c>
      <c r="J17" s="4">
        <v>8400</v>
      </c>
      <c r="K17" s="4">
        <v>8667</v>
      </c>
      <c r="L17" s="4">
        <v>8667</v>
      </c>
      <c r="O17" s="3" t="s">
        <v>545</v>
      </c>
      <c r="P17" s="4">
        <v>10146</v>
      </c>
      <c r="Q17" s="4">
        <v>10146</v>
      </c>
      <c r="R17" s="4"/>
      <c r="S17" s="4"/>
      <c r="U17" s="3" t="s">
        <v>545</v>
      </c>
      <c r="V17" s="4">
        <v>13667</v>
      </c>
      <c r="W17" s="4">
        <v>13667</v>
      </c>
    </row>
    <row r="18" spans="8:23" x14ac:dyDescent="0.25">
      <c r="O18" s="3" t="s">
        <v>546</v>
      </c>
      <c r="P18" s="4">
        <v>7332</v>
      </c>
      <c r="Q18" s="4">
        <v>7332</v>
      </c>
      <c r="R18" s="4"/>
      <c r="S18" s="4"/>
      <c r="U18" s="3" t="s">
        <v>546</v>
      </c>
      <c r="V18" s="4">
        <v>12140</v>
      </c>
      <c r="W18" s="4">
        <v>12140</v>
      </c>
    </row>
    <row r="19" spans="8:23" x14ac:dyDescent="0.25">
      <c r="H19" s="2" t="s">
        <v>1</v>
      </c>
      <c r="I19" t="s">
        <v>489</v>
      </c>
      <c r="K19" s="2" t="s">
        <v>1</v>
      </c>
      <c r="L19" t="s">
        <v>489</v>
      </c>
      <c r="O19" s="3" t="s">
        <v>547</v>
      </c>
      <c r="P19" s="4">
        <v>6734</v>
      </c>
      <c r="Q19" s="4">
        <v>6734</v>
      </c>
      <c r="R19" s="4"/>
      <c r="S19" s="4"/>
      <c r="U19" s="3" t="s">
        <v>547</v>
      </c>
      <c r="V19" s="4">
        <v>14449</v>
      </c>
      <c r="W19" s="4">
        <v>14449</v>
      </c>
    </row>
    <row r="20" spans="8:23" x14ac:dyDescent="0.25">
      <c r="O20" s="3" t="s">
        <v>548</v>
      </c>
      <c r="P20" s="4">
        <v>8400</v>
      </c>
      <c r="Q20" s="4">
        <v>8400</v>
      </c>
      <c r="R20" s="4"/>
      <c r="S20" s="4"/>
      <c r="U20" s="3" t="s">
        <v>548</v>
      </c>
      <c r="V20" s="4">
        <v>16851</v>
      </c>
      <c r="W20" s="4">
        <v>16851</v>
      </c>
    </row>
    <row r="21" spans="8:23" x14ac:dyDescent="0.25">
      <c r="H21" s="2" t="s">
        <v>555</v>
      </c>
      <c r="I21" t="s">
        <v>557</v>
      </c>
      <c r="K21" s="2" t="s">
        <v>555</v>
      </c>
      <c r="L21" t="s">
        <v>557</v>
      </c>
    </row>
    <row r="22" spans="8:23" x14ac:dyDescent="0.25">
      <c r="H22" s="3" t="s">
        <v>492</v>
      </c>
      <c r="I22" s="4">
        <v>3890</v>
      </c>
      <c r="K22" s="3" t="s">
        <v>492</v>
      </c>
      <c r="L22" s="4">
        <v>50173</v>
      </c>
    </row>
    <row r="23" spans="8:23" x14ac:dyDescent="0.25">
      <c r="H23" s="3" t="s">
        <v>497</v>
      </c>
      <c r="I23" s="4">
        <v>1747</v>
      </c>
      <c r="K23" s="3" t="s">
        <v>498</v>
      </c>
      <c r="L23" s="4">
        <v>18352</v>
      </c>
    </row>
    <row r="24" spans="8:23" x14ac:dyDescent="0.25">
      <c r="H24" s="3" t="s">
        <v>498</v>
      </c>
      <c r="I24" s="4">
        <v>1672</v>
      </c>
      <c r="K24" s="3" t="s">
        <v>497</v>
      </c>
      <c r="L24" s="4">
        <v>14057</v>
      </c>
    </row>
    <row r="25" spans="8:23" x14ac:dyDescent="0.25">
      <c r="H25" s="3" t="s">
        <v>493</v>
      </c>
      <c r="I25" s="4">
        <v>562</v>
      </c>
      <c r="K25" s="3" t="s">
        <v>493</v>
      </c>
      <c r="L25" s="4">
        <v>11570</v>
      </c>
    </row>
    <row r="26" spans="8:23" x14ac:dyDescent="0.25">
      <c r="H26" s="3" t="s">
        <v>496</v>
      </c>
      <c r="I26" s="4">
        <v>198</v>
      </c>
      <c r="K26" s="3" t="s">
        <v>496</v>
      </c>
      <c r="L26" s="4">
        <v>5861</v>
      </c>
      <c r="N26" t="s">
        <v>558</v>
      </c>
    </row>
    <row r="27" spans="8:23" x14ac:dyDescent="0.25">
      <c r="K27" s="3" t="s">
        <v>499</v>
      </c>
      <c r="L27" s="4">
        <v>2987</v>
      </c>
    </row>
    <row r="30" spans="8:23" x14ac:dyDescent="0.25">
      <c r="I30" t="s">
        <v>561</v>
      </c>
      <c r="J30" t="s">
        <v>562</v>
      </c>
      <c r="K30" s="3" t="s">
        <v>553</v>
      </c>
      <c r="L30" t="s">
        <v>563</v>
      </c>
      <c r="M30" t="s">
        <v>564</v>
      </c>
    </row>
    <row r="31" spans="8:23" x14ac:dyDescent="0.25">
      <c r="H31" s="9" t="s">
        <v>499</v>
      </c>
      <c r="I31" s="6">
        <f>IFERROR(VLOOKUP(H31,$H$22:$I$27,2,0),0)</f>
        <v>0</v>
      </c>
      <c r="J31" s="5">
        <f>IFERROR(VLOOKUP(H31,$K$22:$L$27,2,0),0)</f>
        <v>2987</v>
      </c>
      <c r="K31" s="7">
        <f>I31/J31</f>
        <v>0</v>
      </c>
      <c r="L31">
        <f>ROUND(K31*100,0)</f>
        <v>0</v>
      </c>
      <c r="M31">
        <f>100-L31</f>
        <v>100</v>
      </c>
      <c r="Q31" s="2" t="s">
        <v>555</v>
      </c>
      <c r="R31" t="s">
        <v>557</v>
      </c>
    </row>
    <row r="32" spans="8:23" x14ac:dyDescent="0.25">
      <c r="H32" s="9" t="s">
        <v>492</v>
      </c>
      <c r="I32" s="6">
        <f t="shared" ref="I32:I36" si="0">IFERROR(VLOOKUP(H32,$H$22:$I$27,2,0),0)</f>
        <v>3890</v>
      </c>
      <c r="J32" s="5">
        <f t="shared" ref="J32:J36" si="1">IFERROR(VLOOKUP(H32,$K$22:$L$27,2,0),0)</f>
        <v>50173</v>
      </c>
      <c r="K32" s="7">
        <f t="shared" ref="K32:K36" si="2">I32/J32</f>
        <v>7.7531740178980721E-2</v>
      </c>
      <c r="L32">
        <f t="shared" ref="L32:L36" si="3">ROUND(K32*100,0)</f>
        <v>8</v>
      </c>
      <c r="M32">
        <f t="shared" ref="M32:M36" si="4">100-L32</f>
        <v>92</v>
      </c>
      <c r="Q32" s="3" t="s">
        <v>489</v>
      </c>
      <c r="R32" s="4">
        <v>8069</v>
      </c>
    </row>
    <row r="33" spans="8:18" x14ac:dyDescent="0.25">
      <c r="H33" s="9" t="s">
        <v>497</v>
      </c>
      <c r="I33" s="6">
        <f t="shared" si="0"/>
        <v>1747</v>
      </c>
      <c r="J33" s="5">
        <f t="shared" si="1"/>
        <v>14057</v>
      </c>
      <c r="K33" s="7">
        <f t="shared" si="2"/>
        <v>0.12427971828982001</v>
      </c>
      <c r="L33">
        <f t="shared" si="3"/>
        <v>12</v>
      </c>
      <c r="M33">
        <f t="shared" si="4"/>
        <v>88</v>
      </c>
      <c r="Q33" s="3" t="s">
        <v>488</v>
      </c>
      <c r="R33" s="4">
        <v>10619</v>
      </c>
    </row>
    <row r="34" spans="8:18" x14ac:dyDescent="0.25">
      <c r="H34" s="9" t="s">
        <v>498</v>
      </c>
      <c r="I34" s="6">
        <f t="shared" si="0"/>
        <v>1672</v>
      </c>
      <c r="J34" s="5">
        <f t="shared" si="1"/>
        <v>18352</v>
      </c>
      <c r="K34" s="7">
        <f t="shared" si="2"/>
        <v>9.1107236268526598E-2</v>
      </c>
      <c r="L34">
        <f t="shared" si="3"/>
        <v>9</v>
      </c>
      <c r="M34">
        <f t="shared" si="4"/>
        <v>91</v>
      </c>
    </row>
    <row r="35" spans="8:18" x14ac:dyDescent="0.25">
      <c r="H35" s="9" t="s">
        <v>493</v>
      </c>
      <c r="I35" s="6">
        <f t="shared" si="0"/>
        <v>562</v>
      </c>
      <c r="J35" s="5">
        <f t="shared" si="1"/>
        <v>11570</v>
      </c>
      <c r="K35" s="7">
        <f t="shared" si="2"/>
        <v>4.8573898012100263E-2</v>
      </c>
      <c r="L35">
        <f t="shared" si="3"/>
        <v>5</v>
      </c>
      <c r="M35">
        <f t="shared" si="4"/>
        <v>95</v>
      </c>
      <c r="Q35" t="s">
        <v>569</v>
      </c>
      <c r="R35" s="4">
        <f>R33-R32</f>
        <v>2550</v>
      </c>
    </row>
    <row r="36" spans="8:18" x14ac:dyDescent="0.25">
      <c r="H36" s="9" t="s">
        <v>496</v>
      </c>
      <c r="I36" s="6">
        <f t="shared" si="0"/>
        <v>198</v>
      </c>
      <c r="J36" s="5">
        <f t="shared" si="1"/>
        <v>5861</v>
      </c>
      <c r="K36" s="7">
        <f t="shared" si="2"/>
        <v>3.3782630950349772E-2</v>
      </c>
      <c r="L36">
        <f t="shared" si="3"/>
        <v>3</v>
      </c>
      <c r="M36">
        <f t="shared" si="4"/>
        <v>97</v>
      </c>
    </row>
    <row r="37" spans="8:18" x14ac:dyDescent="0.25">
      <c r="H37" s="9" t="s">
        <v>565</v>
      </c>
      <c r="I37" s="6">
        <f>SUM(I31:I36)</f>
        <v>8069</v>
      </c>
      <c r="J37" s="5">
        <f>SUM(J31:J36)</f>
        <v>103000</v>
      </c>
      <c r="K37" s="7"/>
    </row>
    <row r="39" spans="8:18" x14ac:dyDescent="0.25">
      <c r="H39" s="3" t="s">
        <v>566</v>
      </c>
      <c r="I39" s="8">
        <f>I37/J37</f>
        <v>7.833980582524272E-2</v>
      </c>
      <c r="L39" s="2" t="s">
        <v>1</v>
      </c>
      <c r="M39" t="s">
        <v>489</v>
      </c>
    </row>
    <row r="40" spans="8:18" x14ac:dyDescent="0.25">
      <c r="H40" s="3" t="s">
        <v>554</v>
      </c>
      <c r="I40" s="8">
        <f>J37/L42</f>
        <v>0.32597412461705955</v>
      </c>
    </row>
    <row r="41" spans="8:18" x14ac:dyDescent="0.25">
      <c r="L41" t="s">
        <v>557</v>
      </c>
    </row>
    <row r="42" spans="8:18" x14ac:dyDescent="0.25">
      <c r="L42" s="4">
        <v>315976</v>
      </c>
    </row>
  </sheetData>
  <pageMargins left="0.511811024" right="0.511811024" top="0.78740157499999996" bottom="0.78740157499999996" header="0.31496062000000002" footer="0.31496062000000002"/>
  <pageSetup paperSize="9"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224F3-85B1-4EFC-BC21-464AB36928EC}">
  <dimension ref="A1"/>
  <sheetViews>
    <sheetView showRowColHeaders="0" tabSelected="1" zoomScale="85" zoomScaleNormal="85" workbookViewId="0">
      <selection activeCell="Y12" sqref="Y12"/>
    </sheetView>
  </sheetViews>
  <sheetFormatPr defaultRowHeight="15" x14ac:dyDescent="0.25"/>
  <sheetData/>
  <pageMargins left="0.511811024" right="0.511811024" top="0.78740157499999996" bottom="0.78740157499999996" header="0.31496062000000002" footer="0.31496062000000002"/>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vt:lpstr>
      <vt:lpstr>Análise do Zero</vt:lpstr>
      <vt:lpstr>Dashboard do Zero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Alfredo Araujo</dc:creator>
  <cp:lastModifiedBy>Ivo  Pedro</cp:lastModifiedBy>
  <dcterms:created xsi:type="dcterms:W3CDTF">2025-09-16T20:40:43Z</dcterms:created>
  <dcterms:modified xsi:type="dcterms:W3CDTF">2026-01-01T11:35:46Z</dcterms:modified>
</cp:coreProperties>
</file>